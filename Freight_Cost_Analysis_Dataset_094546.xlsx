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Windows.old.000\Users\HP\Desktop\Dravis\Desktop\David's Folder\My Work\"/>
    </mc:Choice>
  </mc:AlternateContent>
  <bookViews>
    <workbookView xWindow="0" yWindow="0" windowWidth="24000" windowHeight="9510" activeTab="3"/>
  </bookViews>
  <sheets>
    <sheet name="Shipments" sheetId="1" r:id="rId1"/>
    <sheet name="Cost_Breakdown" sheetId="2" state="hidden" r:id="rId2"/>
    <sheet name="ANALYSIS" sheetId="4" r:id="rId3"/>
    <sheet name="DASHBOARD" sheetId="5" r:id="rId4"/>
  </sheets>
  <definedNames>
    <definedName name="_xlcn.WorksheetConnection_Freight_Cost_Analysis_Dataset.xlsxTable11" hidden="1">Table1[]</definedName>
    <definedName name="_xlnm.Print_Area" localSheetId="3">DASHBOARD!$A$1:$AL$50</definedName>
    <definedName name="Slicer_Carrier">#N/A</definedName>
    <definedName name="Slicer_Destination">#N/A</definedName>
  </definedNames>
  <calcPr calcId="162913"/>
  <pivotCaches>
    <pivotCache cacheId="14" r:id="rId5"/>
    <pivotCache cacheId="1" r:id="rId6"/>
    <pivotCache cacheId="2" r:id="rId7"/>
    <pivotCache cacheId="4" r:id="rId8"/>
    <pivotCache cacheId="5" r:id="rId9"/>
    <pivotCache cacheId="6" r:id="rId10"/>
    <pivotCache cacheId="8" r:id="rId11"/>
    <pivotCache cacheId="9" r:id="rId12"/>
    <pivotCache cacheId="10" r:id="rId13"/>
    <pivotCache cacheId="50" r:id="rId14"/>
    <pivotCache cacheId="64" r:id="rId15"/>
  </pivotCaches>
  <extLst>
    <ext xmlns:x14="http://schemas.microsoft.com/office/spreadsheetml/2009/9/main" uri="{876F7934-8845-4945-9796-88D515C7AA90}">
      <x14:pivotCaches>
        <pivotCache cacheId="11" r:id="rId16"/>
        <pivotCache cacheId="12"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st_Breakdown_1fca7959-5a37-4147-9bf3-899f0960b477" name="Cost_Breakdown" connection="Query - Cost_Breakdown"/>
          <x15:modelTable id="Table1" name="Table1" connection="WorksheetConnection_Freight_Cost_Analysis_Dataset.xlsx!Table1"/>
        </x15:modelTables>
      </x15:dataModel>
    </ext>
  </extLst>
</workbook>
</file>

<file path=xl/calcChain.xml><?xml version="1.0" encoding="utf-8"?>
<calcChain xmlns="http://schemas.openxmlformats.org/spreadsheetml/2006/main">
  <c r="G39" i="4" l="1"/>
  <c r="G36" i="4"/>
  <c r="G37" i="4"/>
  <c r="G38" i="4"/>
</calcChain>
</file>

<file path=xl/connections.xml><?xml version="1.0" encoding="utf-8"?>
<connections xmlns="http://schemas.openxmlformats.org/spreadsheetml/2006/main">
  <connection id="1" name="Query - Cost_Breakdown" description="Connection to the 'Cost_Breakdown' query in the workbook." type="100" refreshedVersion="6" minRefreshableVersion="5">
    <extLst>
      <ext xmlns:x15="http://schemas.microsoft.com/office/spreadsheetml/2010/11/main" uri="{DE250136-89BD-433C-8126-D09CA5730AF9}">
        <x15:connection id="41a6396a-a4d2-4863-807e-3fe300c35d67">
          <x15:oledbPr connection="Provider=Microsoft.Mashup.OleDb.1;Data Source=$Workbook$;Location=Cost_Breakdown">
            <x15:dbTables>
              <x15:dbTable name="Cost_Breakdown"/>
            </x15:dbTables>
          </x15:oledbPr>
        </x15:connection>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Freight_Cost_Analysis_Dataset.xlsx!Table1" type="102" refreshedVersion="6" minRefreshableVersion="5">
    <extLst>
      <ext xmlns:x15="http://schemas.microsoft.com/office/spreadsheetml/2010/11/main" uri="{DE250136-89BD-433C-8126-D09CA5730AF9}">
        <x15:connection id="Table1" autoDelete="1">
          <x15:rangePr sourceName="_xlcn.WorksheetConnection_Freight_Cost_Analysis_Dataset.xlsxTable11"/>
        </x15:connection>
      </ext>
    </extLst>
  </connection>
</connections>
</file>

<file path=xl/sharedStrings.xml><?xml version="1.0" encoding="utf-8"?>
<sst xmlns="http://schemas.openxmlformats.org/spreadsheetml/2006/main" count="1835" uniqueCount="311">
  <si>
    <t>Shipment_ID</t>
  </si>
  <si>
    <t>Date</t>
  </si>
  <si>
    <t>Origin</t>
  </si>
  <si>
    <t>Destination</t>
  </si>
  <si>
    <t>Distance_KM</t>
  </si>
  <si>
    <t>Carrier</t>
  </si>
  <si>
    <t>Mode</t>
  </si>
  <si>
    <t>Planned_Cost</t>
  </si>
  <si>
    <t>Actual_Cost</t>
  </si>
  <si>
    <t>Delivery_Status</t>
  </si>
  <si>
    <t>Delivery_Days</t>
  </si>
  <si>
    <t>SH0001</t>
  </si>
  <si>
    <t>Abuja</t>
  </si>
  <si>
    <t>Lagos</t>
  </si>
  <si>
    <t>FedEx</t>
  </si>
  <si>
    <t>Air</t>
  </si>
  <si>
    <t>On-Time</t>
  </si>
  <si>
    <t>SH0002</t>
  </si>
  <si>
    <t>Takoradi</t>
  </si>
  <si>
    <t>Aramex</t>
  </si>
  <si>
    <t>Road</t>
  </si>
  <si>
    <t>SH0003</t>
  </si>
  <si>
    <t>Accra</t>
  </si>
  <si>
    <t>Nairobi</t>
  </si>
  <si>
    <t>SH0004</t>
  </si>
  <si>
    <t>Port Harcourt</t>
  </si>
  <si>
    <t>TransLink</t>
  </si>
  <si>
    <t>SH0005</t>
  </si>
  <si>
    <t>SH0006</t>
  </si>
  <si>
    <t>SH0007</t>
  </si>
  <si>
    <t>Mombasa</t>
  </si>
  <si>
    <t>GIG Logistics</t>
  </si>
  <si>
    <t>Delayed</t>
  </si>
  <si>
    <t>SH0008</t>
  </si>
  <si>
    <t>SH0009</t>
  </si>
  <si>
    <t>SH0010</t>
  </si>
  <si>
    <t>SH0011</t>
  </si>
  <si>
    <t>SH0012</t>
  </si>
  <si>
    <t>Kumasi</t>
  </si>
  <si>
    <t>SH0013</t>
  </si>
  <si>
    <t>SH0014</t>
  </si>
  <si>
    <t>SH0015</t>
  </si>
  <si>
    <t>SH0016</t>
  </si>
  <si>
    <t>DHL</t>
  </si>
  <si>
    <t>SH0017</t>
  </si>
  <si>
    <t>SH0018</t>
  </si>
  <si>
    <t>UPS</t>
  </si>
  <si>
    <t>SH0019</t>
  </si>
  <si>
    <t>SH0020</t>
  </si>
  <si>
    <t>SH0021</t>
  </si>
  <si>
    <t>SH0022</t>
  </si>
  <si>
    <t>SH0023</t>
  </si>
  <si>
    <t>SH0024</t>
  </si>
  <si>
    <t>SH0025</t>
  </si>
  <si>
    <t>SH0026</t>
  </si>
  <si>
    <t>SH0027</t>
  </si>
  <si>
    <t>SH0028</t>
  </si>
  <si>
    <t>SH0029</t>
  </si>
  <si>
    <t>SH0030</t>
  </si>
  <si>
    <t>SH0031</t>
  </si>
  <si>
    <t>SH0032</t>
  </si>
  <si>
    <t>SH0033</t>
  </si>
  <si>
    <t>SH0034</t>
  </si>
  <si>
    <t>SH0035</t>
  </si>
  <si>
    <t>SH0036</t>
  </si>
  <si>
    <t>SH0037</t>
  </si>
  <si>
    <t>SH0038</t>
  </si>
  <si>
    <t>SH0039</t>
  </si>
  <si>
    <t>SH0040</t>
  </si>
  <si>
    <t>SH0041</t>
  </si>
  <si>
    <t>SH0042</t>
  </si>
  <si>
    <t>SH0043</t>
  </si>
  <si>
    <t>SH0044</t>
  </si>
  <si>
    <t>SH0045</t>
  </si>
  <si>
    <t>SH0046</t>
  </si>
  <si>
    <t>SH0047</t>
  </si>
  <si>
    <t>SH0048</t>
  </si>
  <si>
    <t>SH0049</t>
  </si>
  <si>
    <t>SH0050</t>
  </si>
  <si>
    <t>SH0051</t>
  </si>
  <si>
    <t>SH0052</t>
  </si>
  <si>
    <t>SH0053</t>
  </si>
  <si>
    <t>SH0054</t>
  </si>
  <si>
    <t>SH0055</t>
  </si>
  <si>
    <t>SH0056</t>
  </si>
  <si>
    <t>SH0057</t>
  </si>
  <si>
    <t>SH0058</t>
  </si>
  <si>
    <t>SH0059</t>
  </si>
  <si>
    <t>SH0060</t>
  </si>
  <si>
    <t>SH0061</t>
  </si>
  <si>
    <t>SH0062</t>
  </si>
  <si>
    <t>SH0063</t>
  </si>
  <si>
    <t>SH0064</t>
  </si>
  <si>
    <t>SH0065</t>
  </si>
  <si>
    <t>SH0066</t>
  </si>
  <si>
    <t>SH0067</t>
  </si>
  <si>
    <t>SH0068</t>
  </si>
  <si>
    <t>SH0069</t>
  </si>
  <si>
    <t>SH0070</t>
  </si>
  <si>
    <t>SH0071</t>
  </si>
  <si>
    <t>SH0072</t>
  </si>
  <si>
    <t>SH0073</t>
  </si>
  <si>
    <t>SH0074</t>
  </si>
  <si>
    <t>SH0075</t>
  </si>
  <si>
    <t>SH0076</t>
  </si>
  <si>
    <t>SH0077</t>
  </si>
  <si>
    <t>SH0078</t>
  </si>
  <si>
    <t>SH0079</t>
  </si>
  <si>
    <t>SH0080</t>
  </si>
  <si>
    <t>SH0081</t>
  </si>
  <si>
    <t>SH0082</t>
  </si>
  <si>
    <t>SH0083</t>
  </si>
  <si>
    <t>SH0084</t>
  </si>
  <si>
    <t>SH0085</t>
  </si>
  <si>
    <t>SH0086</t>
  </si>
  <si>
    <t>SH0087</t>
  </si>
  <si>
    <t>SH0088</t>
  </si>
  <si>
    <t>SH0089</t>
  </si>
  <si>
    <t>SH0090</t>
  </si>
  <si>
    <t>SH0091</t>
  </si>
  <si>
    <t>SH0092</t>
  </si>
  <si>
    <t>SH0093</t>
  </si>
  <si>
    <t>SH0094</t>
  </si>
  <si>
    <t>SH0095</t>
  </si>
  <si>
    <t>SH0096</t>
  </si>
  <si>
    <t>SH0097</t>
  </si>
  <si>
    <t>SH0098</t>
  </si>
  <si>
    <t>SH0099</t>
  </si>
  <si>
    <t>SH0100</t>
  </si>
  <si>
    <t>SH0101</t>
  </si>
  <si>
    <t>SH0102</t>
  </si>
  <si>
    <t>SH0103</t>
  </si>
  <si>
    <t>SH0104</t>
  </si>
  <si>
    <t>SH0105</t>
  </si>
  <si>
    <t>SH0106</t>
  </si>
  <si>
    <t>SH0107</t>
  </si>
  <si>
    <t>SH0108</t>
  </si>
  <si>
    <t>SH0109</t>
  </si>
  <si>
    <t>SH0110</t>
  </si>
  <si>
    <t>SH0111</t>
  </si>
  <si>
    <t>SH0112</t>
  </si>
  <si>
    <t>SH0113</t>
  </si>
  <si>
    <t>SH0114</t>
  </si>
  <si>
    <t>SH0115</t>
  </si>
  <si>
    <t>SH0116</t>
  </si>
  <si>
    <t>SH0117</t>
  </si>
  <si>
    <t>SH0118</t>
  </si>
  <si>
    <t>SH0119</t>
  </si>
  <si>
    <t>SH0120</t>
  </si>
  <si>
    <t>SH0121</t>
  </si>
  <si>
    <t>SH0122</t>
  </si>
  <si>
    <t>SH0123</t>
  </si>
  <si>
    <t>SH0124</t>
  </si>
  <si>
    <t>SH0125</t>
  </si>
  <si>
    <t>SH0126</t>
  </si>
  <si>
    <t>SH0127</t>
  </si>
  <si>
    <t>SH0128</t>
  </si>
  <si>
    <t>SH0129</t>
  </si>
  <si>
    <t>SH0130</t>
  </si>
  <si>
    <t>SH0131</t>
  </si>
  <si>
    <t>SH0132</t>
  </si>
  <si>
    <t>SH0133</t>
  </si>
  <si>
    <t>SH0134</t>
  </si>
  <si>
    <t>SH0135</t>
  </si>
  <si>
    <t>SH0136</t>
  </si>
  <si>
    <t>SH0137</t>
  </si>
  <si>
    <t>SH0138</t>
  </si>
  <si>
    <t>SH0139</t>
  </si>
  <si>
    <t>SH0140</t>
  </si>
  <si>
    <t>SH0141</t>
  </si>
  <si>
    <t>SH0142</t>
  </si>
  <si>
    <t>SH0143</t>
  </si>
  <si>
    <t>SH0144</t>
  </si>
  <si>
    <t>SH0145</t>
  </si>
  <si>
    <t>SH0146</t>
  </si>
  <si>
    <t>SH0147</t>
  </si>
  <si>
    <t>SH0148</t>
  </si>
  <si>
    <t>SH0149</t>
  </si>
  <si>
    <t>SH0150</t>
  </si>
  <si>
    <t>SH0151</t>
  </si>
  <si>
    <t>SH0152</t>
  </si>
  <si>
    <t>SH0153</t>
  </si>
  <si>
    <t>SH0154</t>
  </si>
  <si>
    <t>SH0155</t>
  </si>
  <si>
    <t>SH0156</t>
  </si>
  <si>
    <t>SH0157</t>
  </si>
  <si>
    <t>SH0158</t>
  </si>
  <si>
    <t>SH0159</t>
  </si>
  <si>
    <t>SH0160</t>
  </si>
  <si>
    <t>SH0161</t>
  </si>
  <si>
    <t>SH0162</t>
  </si>
  <si>
    <t>SH0163</t>
  </si>
  <si>
    <t>SH0164</t>
  </si>
  <si>
    <t>SH0165</t>
  </si>
  <si>
    <t>SH0166</t>
  </si>
  <si>
    <t>SH0167</t>
  </si>
  <si>
    <t>SH0168</t>
  </si>
  <si>
    <t>SH0169</t>
  </si>
  <si>
    <t>SH0170</t>
  </si>
  <si>
    <t>SH0171</t>
  </si>
  <si>
    <t>SH0172</t>
  </si>
  <si>
    <t>SH0173</t>
  </si>
  <si>
    <t>SH0174</t>
  </si>
  <si>
    <t>SH0175</t>
  </si>
  <si>
    <t>SH0176</t>
  </si>
  <si>
    <t>SH0177</t>
  </si>
  <si>
    <t>SH0178</t>
  </si>
  <si>
    <t>SH0179</t>
  </si>
  <si>
    <t>SH0180</t>
  </si>
  <si>
    <t>SH0181</t>
  </si>
  <si>
    <t>SH0182</t>
  </si>
  <si>
    <t>SH0183</t>
  </si>
  <si>
    <t>SH0184</t>
  </si>
  <si>
    <t>SH0185</t>
  </si>
  <si>
    <t>SH0186</t>
  </si>
  <si>
    <t>SH0187</t>
  </si>
  <si>
    <t>SH0188</t>
  </si>
  <si>
    <t>SH0189</t>
  </si>
  <si>
    <t>SH0190</t>
  </si>
  <si>
    <t>SH0191</t>
  </si>
  <si>
    <t>SH0192</t>
  </si>
  <si>
    <t>SH0193</t>
  </si>
  <si>
    <t>SH0194</t>
  </si>
  <si>
    <t>SH0195</t>
  </si>
  <si>
    <t>SH0196</t>
  </si>
  <si>
    <t>SH0197</t>
  </si>
  <si>
    <t>SH0198</t>
  </si>
  <si>
    <t>SH0199</t>
  </si>
  <si>
    <t>SH0200</t>
  </si>
  <si>
    <t>SH0201</t>
  </si>
  <si>
    <t>SH0202</t>
  </si>
  <si>
    <t>SH0203</t>
  </si>
  <si>
    <t>SH0204</t>
  </si>
  <si>
    <t>SH0205</t>
  </si>
  <si>
    <t>SH0206</t>
  </si>
  <si>
    <t>SH0207</t>
  </si>
  <si>
    <t>SH0208</t>
  </si>
  <si>
    <t>SH0209</t>
  </si>
  <si>
    <t>SH0210</t>
  </si>
  <si>
    <t>SH0211</t>
  </si>
  <si>
    <t>SH0212</t>
  </si>
  <si>
    <t>SH0213</t>
  </si>
  <si>
    <t>SH0214</t>
  </si>
  <si>
    <t>SH0215</t>
  </si>
  <si>
    <t>SH0216</t>
  </si>
  <si>
    <t>SH0217</t>
  </si>
  <si>
    <t>SH0218</t>
  </si>
  <si>
    <t>SH0219</t>
  </si>
  <si>
    <t>SH0220</t>
  </si>
  <si>
    <t>SH0221</t>
  </si>
  <si>
    <t>SH0222</t>
  </si>
  <si>
    <t>SH0223</t>
  </si>
  <si>
    <t>SH0224</t>
  </si>
  <si>
    <t>SH0225</t>
  </si>
  <si>
    <t>SH0226</t>
  </si>
  <si>
    <t>SH0227</t>
  </si>
  <si>
    <t>SH0228</t>
  </si>
  <si>
    <t>SH0229</t>
  </si>
  <si>
    <t>SH0230</t>
  </si>
  <si>
    <t>SH0231</t>
  </si>
  <si>
    <t>SH0232</t>
  </si>
  <si>
    <t>SH0233</t>
  </si>
  <si>
    <t>SH0234</t>
  </si>
  <si>
    <t>SH0235</t>
  </si>
  <si>
    <t>SH0236</t>
  </si>
  <si>
    <t>SH0237</t>
  </si>
  <si>
    <t>SH0238</t>
  </si>
  <si>
    <t>SH0239</t>
  </si>
  <si>
    <t>SH0240</t>
  </si>
  <si>
    <t>SH0241</t>
  </si>
  <si>
    <t>SH0242</t>
  </si>
  <si>
    <t>SH0243</t>
  </si>
  <si>
    <t>SH0244</t>
  </si>
  <si>
    <t>SH0245</t>
  </si>
  <si>
    <t>SH0246</t>
  </si>
  <si>
    <t>SH0247</t>
  </si>
  <si>
    <t>SH0248</t>
  </si>
  <si>
    <t>SH0249</t>
  </si>
  <si>
    <t>SH0250</t>
  </si>
  <si>
    <t>Fuel_Cost</t>
  </si>
  <si>
    <t>Toll_Fees</t>
  </si>
  <si>
    <t>Labor_Cost</t>
  </si>
  <si>
    <t>Maintenance_Cost</t>
  </si>
  <si>
    <t>Other_Costs</t>
  </si>
  <si>
    <t>TOTAL FREIGHT COST</t>
  </si>
  <si>
    <t>FREIGHT COST VARIANCE</t>
  </si>
  <si>
    <t>AVERAGE COST PER KM</t>
  </si>
  <si>
    <t>TOTAL SHIPMENTS</t>
  </si>
  <si>
    <t>DELAYED COUNT</t>
  </si>
  <si>
    <t>ON-TIME DELIVERY %</t>
  </si>
  <si>
    <t>DELAYED %</t>
  </si>
  <si>
    <t>KEY PERFORMANCE INDICATORS</t>
  </si>
  <si>
    <t>FREIGHT COST per CARRIER</t>
  </si>
  <si>
    <t>FREIGHT COST VARIANCE by ROUTE</t>
  </si>
  <si>
    <t>Sum of Actual_Cost</t>
  </si>
  <si>
    <t>Sum of Planned_Cost</t>
  </si>
  <si>
    <t>FREIGHT COST by MODE</t>
  </si>
  <si>
    <t>FREIGHT COST by ORIGIN</t>
  </si>
  <si>
    <t>DELIVERY STATUS</t>
  </si>
  <si>
    <t>KPIs CHART</t>
  </si>
  <si>
    <t>Max of Distance_KM</t>
  </si>
  <si>
    <t>Totals</t>
  </si>
  <si>
    <t>Values</t>
  </si>
  <si>
    <t>KPIs</t>
  </si>
  <si>
    <t>Total Freight Cost</t>
  </si>
  <si>
    <t>Freight Cost Variance</t>
  </si>
  <si>
    <t>Avg Cost per KM</t>
  </si>
  <si>
    <t>On-Time Delivery</t>
  </si>
  <si>
    <t>Cost per KM by Mode</t>
  </si>
  <si>
    <t>Count of Shipment_ID</t>
  </si>
  <si>
    <t>Sum of Cost per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</si>
</sst>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m/d/yyyy;@"/>
    <numFmt numFmtId="165" formatCode="_(* #,##0_);_(* \(#,##0\);_(* &quot;-&quot;??_);_(@_)"/>
    <numFmt numFmtId="166" formatCode="0%;\-0%;0%"/>
    <numFmt numFmtId="167" formatCode="[&gt;=100000]\ª0.00,,;General"/>
    <numFmt numFmtId="168" formatCode="[&gt;=100000]\₦0.00,,&quot;M&quot;;[&gt;1000]\₦0.0,&quot;K&quot;;0"/>
    <numFmt numFmtId="169" formatCode="[&gt;=100000]\₦0,,&quot;M&quot;;[&gt;1000]\₦0,&quot;K&quot;;0"/>
  </numFmts>
  <fonts count="9" x14ac:knownFonts="1">
    <font>
      <sz val="11"/>
      <color theme="1"/>
      <name val="Calibri"/>
      <family val="2"/>
      <scheme val="minor"/>
    </font>
    <font>
      <b/>
      <sz val="11"/>
      <name val="Calibri"/>
      <family val="2"/>
    </font>
    <font>
      <sz val="11"/>
      <color theme="1"/>
      <name val="Calibri"/>
      <family val="2"/>
      <scheme val="minor"/>
    </font>
    <font>
      <b/>
      <sz val="16"/>
      <color theme="1"/>
      <name val="Trebuchet MS"/>
      <family val="2"/>
    </font>
    <font>
      <sz val="11"/>
      <color theme="1"/>
      <name val="Trebuchet MS"/>
      <family val="2"/>
    </font>
    <font>
      <b/>
      <sz val="11"/>
      <color theme="1"/>
      <name val="Trebuchet MS"/>
      <family val="2"/>
    </font>
    <font>
      <b/>
      <sz val="14"/>
      <color theme="1"/>
      <name val="Trebuchet MS"/>
      <family val="2"/>
    </font>
    <font>
      <sz val="11"/>
      <color theme="1"/>
      <name val="Trebuchet MS"/>
    </font>
    <font>
      <sz val="11.5"/>
      <color theme="1"/>
      <name val="Trebuchet MS"/>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rgb="FF080125"/>
        <bgColor indexed="64"/>
      </patternFill>
    </fill>
    <fill>
      <patternFill patternType="solid">
        <fgColor theme="0" tint="-0.499984740745262"/>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65" fontId="1" fillId="0" borderId="1" xfId="1" applyNumberFormat="1" applyFont="1" applyBorder="1" applyAlignment="1">
      <alignment horizontal="center" vertical="top"/>
    </xf>
    <xf numFmtId="165" fontId="0" fillId="0" borderId="0" xfId="1" applyNumberFormat="1" applyFont="1"/>
    <xf numFmtId="1" fontId="1" fillId="0" borderId="1" xfId="0" applyNumberFormat="1" applyFont="1" applyBorder="1" applyAlignment="1">
      <alignment horizontal="center" vertical="top"/>
    </xf>
    <xf numFmtId="1" fontId="0" fillId="0" borderId="0" xfId="0" applyNumberFormat="1"/>
    <xf numFmtId="0" fontId="5" fillId="2" borderId="2" xfId="0" applyFont="1" applyFill="1" applyBorder="1"/>
    <xf numFmtId="0" fontId="5" fillId="0" borderId="0" xfId="0" applyFont="1"/>
    <xf numFmtId="167" fontId="0" fillId="0" borderId="0" xfId="0" applyNumberFormat="1"/>
    <xf numFmtId="169" fontId="4" fillId="0" borderId="0" xfId="0" applyNumberFormat="1" applyFont="1"/>
    <xf numFmtId="0" fontId="0" fillId="4" borderId="0" xfId="0" applyFill="1"/>
    <xf numFmtId="0" fontId="7" fillId="0" borderId="0" xfId="0" applyFont="1"/>
    <xf numFmtId="0" fontId="7" fillId="0" borderId="0" xfId="0" pivotButton="1" applyFont="1"/>
    <xf numFmtId="169" fontId="7" fillId="0" borderId="0" xfId="0" applyNumberFormat="1" applyFont="1"/>
    <xf numFmtId="0" fontId="8" fillId="0" borderId="0" xfId="0" applyFont="1"/>
    <xf numFmtId="169" fontId="8" fillId="0" borderId="0" xfId="0" applyNumberFormat="1" applyFont="1"/>
    <xf numFmtId="166" fontId="8" fillId="0" borderId="0" xfId="0" applyNumberFormat="1" applyFont="1"/>
    <xf numFmtId="0" fontId="6" fillId="5" borderId="0" xfId="0" applyFont="1" applyFill="1"/>
    <xf numFmtId="10" fontId="7" fillId="0" borderId="0" xfId="0" applyNumberFormat="1" applyFont="1"/>
    <xf numFmtId="0" fontId="0" fillId="0" borderId="0" xfId="0" applyBorder="1"/>
    <xf numFmtId="169" fontId="7" fillId="0" borderId="0" xfId="0" applyNumberFormat="1" applyFont="1" applyBorder="1"/>
    <xf numFmtId="0" fontId="7" fillId="0" borderId="0" xfId="0" applyNumberFormat="1" applyFont="1"/>
    <xf numFmtId="166" fontId="7" fillId="0" borderId="0" xfId="0" applyNumberFormat="1" applyFont="1"/>
    <xf numFmtId="0" fontId="4" fillId="0" borderId="0" xfId="0" pivotButton="1" applyFont="1"/>
    <xf numFmtId="0" fontId="4" fillId="0" borderId="0" xfId="0" applyFont="1"/>
    <xf numFmtId="9" fontId="7" fillId="0" borderId="0" xfId="0" applyNumberFormat="1" applyFont="1"/>
    <xf numFmtId="9" fontId="0" fillId="0" borderId="0" xfId="2" applyFont="1"/>
    <xf numFmtId="0" fontId="3" fillId="3" borderId="0" xfId="0" applyFont="1" applyFill="1" applyAlignment="1">
      <alignment horizontal="center"/>
    </xf>
    <xf numFmtId="0" fontId="6" fillId="3" borderId="0" xfId="0" applyFont="1" applyFill="1" applyAlignment="1">
      <alignment horizontal="center"/>
    </xf>
    <xf numFmtId="1" fontId="4" fillId="0" borderId="0" xfId="0" applyNumberFormat="1" applyFont="1"/>
  </cellXfs>
  <cellStyles count="3">
    <cellStyle name="Comma" xfId="1" builtinId="3"/>
    <cellStyle name="Normal" xfId="0" builtinId="0"/>
    <cellStyle name="Percent" xfId="2" builtinId="5"/>
  </cellStyles>
  <dxfs count="158">
    <dxf>
      <font>
        <name val="Trebuchet MS"/>
        <scheme val="none"/>
      </font>
    </dxf>
    <dxf>
      <font>
        <name val="Trebuchet MS"/>
        <scheme val="none"/>
      </font>
    </dxf>
    <dxf>
      <font>
        <name val="Trebuchet MS"/>
        <scheme val="none"/>
      </font>
    </dxf>
    <dxf>
      <numFmt numFmtId="168" formatCode="[&gt;=100000]\₦0.00,,&quot;M&quot;;[&gt;1000]\₦0.0,&quot;K&quot;;0"/>
    </dxf>
    <dxf>
      <numFmt numFmtId="171" formatCode="[&gt;=100000]\₦0.0,,&quot;M&quot;;[&gt;1000]\₦0,&quot;K&quot;;0"/>
    </dxf>
    <dxf>
      <numFmt numFmtId="169" formatCode="[&gt;=100000]\₦0,,&quot;M&quot;;[&gt;1000]\₦0,&quot;K&quot;;0"/>
    </dxf>
    <dxf>
      <numFmt numFmtId="169" formatCode="[&gt;=100000]\₦0,,&quot;M&quot;;[&gt;1000]\₦0,&quot;K&quot;;0"/>
    </dxf>
    <dxf>
      <font>
        <name val="Trebuchet MS"/>
        <scheme val="none"/>
      </font>
    </dxf>
    <dxf>
      <font>
        <name val="Trebuchet MS"/>
        <scheme val="none"/>
      </font>
    </dxf>
    <dxf>
      <font>
        <name val="Trebuchet MS"/>
        <scheme val="none"/>
      </font>
    </dxf>
    <dxf>
      <numFmt numFmtId="168" formatCode="[&gt;=100000]\₦0.00,,&quot;M&quot;;[&gt;1000]\₦0.0,&quot;K&quot;;0"/>
    </dxf>
    <dxf>
      <numFmt numFmtId="171" formatCode="[&gt;=100000]\₦0.0,,&quot;M&quot;;[&gt;1000]\₦0,&quot;K&quot;;0"/>
    </dxf>
    <dxf>
      <numFmt numFmtId="169" formatCode="[&gt;=100000]\₦0,,&quot;M&quot;;[&gt;1000]\₦0,&quot;K&quot;;0"/>
    </dxf>
    <dxf>
      <numFmt numFmtId="169" formatCode="[&gt;=100000]\₦0,,&quot;M&quot;;[&gt;1000]\₦0,&quot;K&quot;;0"/>
    </dxf>
    <dxf>
      <font>
        <name val="Trebuchet MS"/>
        <scheme val="none"/>
      </font>
    </dxf>
    <dxf>
      <font>
        <name val="Trebuchet MS"/>
        <scheme val="none"/>
      </font>
    </dxf>
    <dxf>
      <font>
        <name val="Trebuchet MS"/>
        <scheme val="none"/>
      </font>
    </dxf>
    <dxf>
      <numFmt numFmtId="168" formatCode="[&gt;=100000]\₦0.00,,&quot;M&quot;;[&gt;1000]\₦0.0,&quot;K&quot;;0"/>
    </dxf>
    <dxf>
      <numFmt numFmtId="171" formatCode="[&gt;=100000]\₦0.0,,&quot;M&quot;;[&gt;1000]\₦0,&quot;K&quot;;0"/>
    </dxf>
    <dxf>
      <numFmt numFmtId="169" formatCode="[&gt;=100000]\₦0,,&quot;M&quot;;[&gt;1000]\₦0,&quot;K&quot;;0"/>
    </dxf>
    <dxf>
      <numFmt numFmtId="169" formatCode="[&gt;=100000]\₦0,,&quot;M&quot;;[&gt;1000]\₦0,&quot;K&quot;;0"/>
    </dxf>
    <dxf>
      <font>
        <name val="Trebuchet MS"/>
        <scheme val="none"/>
      </font>
    </dxf>
    <dxf>
      <font>
        <name val="Trebuchet MS"/>
        <scheme val="none"/>
      </font>
    </dxf>
    <dxf>
      <font>
        <name val="Trebuchet MS"/>
        <scheme val="none"/>
      </font>
    </dxf>
    <dxf>
      <numFmt numFmtId="168" formatCode="[&gt;=100000]\₦0.00,,&quot;M&quot;;[&gt;1000]\₦0.0,&quot;K&quot;;0"/>
    </dxf>
    <dxf>
      <numFmt numFmtId="171" formatCode="[&gt;=100000]\₦0.0,,&quot;M&quot;;[&gt;1000]\₦0,&quot;K&quot;;0"/>
    </dxf>
    <dxf>
      <numFmt numFmtId="169" formatCode="[&gt;=100000]\₦0,,&quot;M&quot;;[&gt;1000]\₦0,&quot;K&quot;;0"/>
    </dxf>
    <dxf>
      <numFmt numFmtId="169" formatCode="[&gt;=100000]\₦0,,&quot;M&quot;;[&gt;1000]\₦0,&quot;K&quot;;0"/>
    </dxf>
    <dxf>
      <font>
        <name val="Trebuchet MS"/>
        <scheme val="none"/>
      </font>
    </dxf>
    <dxf>
      <font>
        <name val="Trebuchet MS"/>
        <scheme val="none"/>
      </font>
    </dxf>
    <dxf>
      <font>
        <name val="Trebuchet MS"/>
        <scheme val="none"/>
      </font>
    </dxf>
    <dxf>
      <numFmt numFmtId="168" formatCode="[&gt;=100000]\₦0.00,,&quot;M&quot;;[&gt;1000]\₦0.0,&quot;K&quot;;0"/>
    </dxf>
    <dxf>
      <numFmt numFmtId="171" formatCode="[&gt;=100000]\₦0.0,,&quot;M&quot;;[&gt;1000]\₦0,&quot;K&quot;;0"/>
    </dxf>
    <dxf>
      <numFmt numFmtId="169" formatCode="[&gt;=100000]\₦0,,&quot;M&quot;;[&gt;1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numFmt numFmtId="168" formatCode="[&gt;=100000]\₦0.00,,&quot;M&quot;;[&gt;1000]\₦0.0,&quot;K&quot;;0"/>
    </dxf>
    <dxf>
      <numFmt numFmtId="169" formatCode="[&gt;=100000]\₦0,,&quot;M&quot;;[&gt;1000]\₦0,&quot;K&quot;;0"/>
    </dxf>
    <dxf>
      <font>
        <name val="Trebuchet MS"/>
        <scheme val="none"/>
      </font>
    </dxf>
    <dxf>
      <font>
        <name val="Trebuchet MS"/>
        <scheme val="none"/>
      </font>
    </dxf>
    <dxf>
      <font>
        <name val="Trebuchet MS"/>
        <scheme val="none"/>
      </font>
    </dxf>
    <dxf>
      <numFmt numFmtId="14" formatCode="0.00%"/>
    </dxf>
    <dxf>
      <font>
        <b/>
        <color theme="1"/>
      </font>
      <border>
        <bottom style="thin">
          <color theme="4"/>
        </bottom>
        <vertical/>
        <horizontal/>
      </border>
    </dxf>
    <dxf>
      <font>
        <b val="0"/>
        <i val="0"/>
        <sz val="10"/>
        <color theme="0"/>
        <name val="Calibri"/>
        <scheme val="minor"/>
      </font>
      <border diagonalUp="0" diagonalDown="0">
        <left/>
        <right/>
        <top/>
        <bottom/>
        <vertical/>
        <horizontal/>
      </border>
    </dxf>
    <dxf>
      <font>
        <b/>
        <i val="0"/>
        <sz val="10"/>
        <color theme="0"/>
        <name val="Calibri"/>
        <scheme val="minor"/>
      </font>
      <fill>
        <patternFill>
          <bgColor theme="4" tint="-0.24994659260841701"/>
        </patternFill>
      </fill>
      <border diagonalUp="0" diagonalDown="0">
        <left/>
        <right/>
        <top/>
        <bottom/>
        <vertical/>
        <horizontal/>
      </border>
    </dxf>
    <dxf>
      <font>
        <name val="Trebuchet MS"/>
        <scheme val="none"/>
      </font>
    </dxf>
    <dxf>
      <font>
        <name val="Trebuchet MS"/>
        <scheme val="none"/>
      </font>
    </dxf>
    <dxf>
      <font>
        <name val="Trebuchet MS"/>
        <scheme val="none"/>
      </font>
    </dxf>
    <dxf>
      <font>
        <name val="Trebuchet MS"/>
        <scheme val="none"/>
      </font>
    </dxf>
    <dxf>
      <font>
        <name val="Trebuchet MS"/>
        <scheme val="none"/>
      </font>
    </dxf>
    <dxf>
      <font>
        <name val="Trebuchet MS"/>
        <scheme val="none"/>
      </font>
    </dxf>
    <dxf>
      <font>
        <name val="Trebuchet MS"/>
        <scheme val="none"/>
      </font>
    </dxf>
    <dxf>
      <numFmt numFmtId="169" formatCode="[&gt;=100000]\₦0,,&quot;M&quot;;[&gt;1000]\₦0,&quot;K&quot;;0"/>
    </dxf>
    <dxf>
      <numFmt numFmtId="2" formatCode="0.00"/>
    </dxf>
    <dxf>
      <numFmt numFmtId="174" formatCode="0.0"/>
    </dxf>
    <dxf>
      <numFmt numFmtId="1" formatCode="0"/>
    </dxf>
    <dxf>
      <numFmt numFmtId="169" formatCode="[&gt;=100000]\₦0,,&quot;M&quot;;[&gt;1000]\₦0,&quot;K&quot;;0"/>
    </dxf>
    <dxf>
      <numFmt numFmtId="169" formatCode="[&gt;=100000]\₦0,,&quot;M&quot;;[&gt;1000]\₦0,&quot;K&quot;;0"/>
    </dxf>
    <dxf>
      <numFmt numFmtId="171" formatCode="[&gt;=100000]\₦0.0,,&quot;M&quot;;[&gt;1000]\₦0,&quot;K&quot;;0"/>
    </dxf>
    <dxf>
      <numFmt numFmtId="168" formatCode="[&gt;=100000]\₦0.00,,&quot;M&quot;;[&gt;1000]\₦0.0,&quot;K&quot;;0"/>
    </dxf>
    <dxf>
      <font>
        <name val="Trebuchet MS"/>
        <scheme val="none"/>
      </font>
    </dxf>
    <dxf>
      <font>
        <name val="Trebuchet MS"/>
        <scheme val="none"/>
      </font>
    </dxf>
    <dxf>
      <font>
        <name val="Trebuchet MS"/>
        <scheme val="none"/>
      </font>
    </dxf>
    <dxf>
      <numFmt numFmtId="169" formatCode="[&gt;=100000]\₦0,,&quot;M&quot;;[&gt;1000]\₦0,&quot;K&quot;;0"/>
    </dxf>
    <dxf>
      <numFmt numFmtId="168" formatCode="[&gt;=100000]\₦0.00,,&quot;M&quot;;[&gt;1000]\₦0.0,&quot;K&quot;;0"/>
    </dxf>
    <dxf>
      <numFmt numFmtId="0" formatCode="General"/>
    </dxf>
    <dxf>
      <numFmt numFmtId="14" formatCode="0.00%"/>
    </dxf>
    <dxf>
      <font>
        <name val="Trebuchet MS"/>
        <scheme val="none"/>
      </font>
    </dxf>
    <dxf>
      <font>
        <name val="Trebuchet MS"/>
        <scheme val="none"/>
      </font>
    </dxf>
    <dxf>
      <font>
        <name val="Trebuchet MS"/>
        <scheme val="none"/>
      </font>
    </dxf>
    <dxf>
      <font>
        <name val="Trebuchet MS"/>
        <scheme val="none"/>
      </font>
    </dxf>
    <dxf>
      <font>
        <name val="Trebuchet MS"/>
        <scheme val="none"/>
      </font>
    </dxf>
    <dxf>
      <numFmt numFmtId="169" formatCode="[&gt;=100000]\₦0,,&quot;M&quot;;[&gt;1000]\₦0,&quot;K&quot;;0"/>
    </dxf>
    <dxf>
      <font>
        <name val="Trebuchet MS"/>
        <scheme val="none"/>
      </font>
    </dxf>
    <dxf>
      <font>
        <name val="Trebuchet MS"/>
        <scheme val="none"/>
      </font>
    </dxf>
    <dxf>
      <numFmt numFmtId="13" formatCode="0%"/>
    </dxf>
    <dxf>
      <numFmt numFmtId="170" formatCode="0.0%"/>
    </dxf>
    <dxf>
      <numFmt numFmtId="13" formatCode="0%"/>
    </dxf>
    <dxf>
      <numFmt numFmtId="170" formatCode="0.0%"/>
    </dxf>
    <dxf>
      <numFmt numFmtId="14" formatCode="0.00%"/>
    </dxf>
    <dxf>
      <numFmt numFmtId="170" formatCode="0.0%"/>
    </dxf>
    <dxf>
      <numFmt numFmtId="13" formatCode="0%"/>
    </dxf>
    <dxf>
      <numFmt numFmtId="170" formatCode="0.0%"/>
    </dxf>
    <dxf>
      <font>
        <name val="Trebuchet MS"/>
        <scheme val="none"/>
      </font>
    </dxf>
    <dxf>
      <font>
        <name val="Trebuchet MS"/>
        <scheme val="none"/>
      </font>
    </dxf>
    <dxf>
      <numFmt numFmtId="169" formatCode="[&gt;=100000]\₦0,,&quot;M&quot;;[&gt;1000]\₦0,&quot;K&quot;;0"/>
    </dxf>
    <dxf>
      <numFmt numFmtId="169" formatCode="[&gt;=100000]\₦0,,&quot;M&quot;;[&gt;1000]\₦0,&quot;K&quot;;0"/>
    </dxf>
    <dxf>
      <numFmt numFmtId="168" formatCode="[&gt;=100000]\₦0.00,,&quot;M&quot;;[&gt;1000]\₦0.0,&quot;K&quot;;0"/>
    </dxf>
    <dxf>
      <numFmt numFmtId="168" formatCode="[&gt;=100000]\₦0.00,,&quot;M&quot;;[&gt;1000]\₦0.0,&quot;K&quot;;0"/>
    </dxf>
    <dxf>
      <numFmt numFmtId="0" formatCode="General"/>
    </dxf>
    <dxf>
      <numFmt numFmtId="14" formatCode="0.00%"/>
    </dxf>
    <dxf>
      <font>
        <name val="Trebuchet MS"/>
        <scheme val="none"/>
      </font>
    </dxf>
    <dxf>
      <font>
        <name val="Trebuchet MS"/>
        <scheme val="none"/>
      </font>
    </dxf>
    <dxf>
      <font>
        <name val="Trebuchet MS"/>
        <scheme val="none"/>
      </font>
    </dxf>
    <dxf>
      <numFmt numFmtId="169" formatCode="[&gt;=100000]\₦0,,&quot;M&quot;;[&gt;1000]\₦0,&quot;K&quot;;0"/>
    </dxf>
    <dxf>
      <numFmt numFmtId="168" formatCode="[&gt;=100000]\₦0.00,,&quot;M&quot;;[&gt;1000]\₦0.0,&quot;K&quot;;0"/>
    </dxf>
    <dxf>
      <font>
        <name val="Trebuchet MS"/>
        <scheme val="none"/>
      </font>
    </dxf>
    <dxf>
      <font>
        <name val="Trebuchet MS"/>
        <scheme val="none"/>
      </font>
    </dxf>
    <dxf>
      <font>
        <name val="Trebuchet MS"/>
        <scheme val="none"/>
      </font>
    </dxf>
    <dxf>
      <numFmt numFmtId="169" formatCode="[&gt;=100000]\₦0,,&quot;M&quot;;[&gt;1000]\₦0,&quot;K&quot;;0"/>
    </dxf>
    <dxf>
      <numFmt numFmtId="169" formatCode="[&gt;=100000]\₦0,,&quot;M&quot;;[&gt;1000]\₦0,&quot;K&quot;;0"/>
    </dxf>
    <dxf>
      <numFmt numFmtId="168" formatCode="[&gt;=100000]\₦0.00,,&quot;M&quot;;[&gt;1000]\₦0.0,&quot;K&quot;;0"/>
    </dxf>
    <dxf>
      <numFmt numFmtId="0" formatCode="General"/>
    </dxf>
    <dxf>
      <numFmt numFmtId="14" formatCode="0.00%"/>
    </dxf>
    <dxf>
      <font>
        <name val="Trebuchet MS"/>
        <scheme val="none"/>
      </font>
    </dxf>
    <dxf>
      <font>
        <name val="Trebuchet MS"/>
        <scheme val="none"/>
      </font>
    </dxf>
    <dxf>
      <font>
        <name val="Trebuchet MS"/>
        <scheme val="none"/>
      </font>
    </dxf>
    <dxf>
      <numFmt numFmtId="169" formatCode="[&gt;=100000]\₦0,,&quot;M&quot;;[&gt;1000]\₦0,&quot;K&quot;;0"/>
    </dxf>
    <dxf>
      <numFmt numFmtId="168" formatCode="[&gt;=100000]\₦0.00,,&quot;M&quot;;[&gt;1000]\₦0.0,&quot;K&quot;;0"/>
    </dxf>
    <dxf>
      <font>
        <name val="Trebuchet MS"/>
        <scheme val="none"/>
      </font>
    </dxf>
    <dxf>
      <font>
        <name val="Trebuchet MS"/>
        <scheme val="none"/>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_(* #,##0_);_(* \(#,##0\);_(* &quot;-&quot;??_);_(@_)"/>
    </dxf>
    <dxf>
      <numFmt numFmtId="165" formatCode="_(* #,##0_);_(* \(#,##0\);_(* &quot;-&quot;??_);_(@_)"/>
    </dxf>
    <dxf>
      <numFmt numFmtId="164"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s>
  <tableStyles count="5" defaultTableStyle="TableStyleMedium9" defaultPivotStyle="PivotStyleLight16">
    <tableStyle name="Slicer Style 1" pivot="0" table="0" count="0"/>
    <tableStyle name="Slicer Style 2" pivot="0" table="0" count="1">
      <tableStyleElement type="wholeTable" dxfId="157"/>
    </tableStyle>
    <tableStyle name="Slicer Style 4" pivot="0" table="0" count="1">
      <tableStyleElement type="wholeTable" dxfId="73"/>
    </tableStyle>
    <tableStyle name="SlicerStyleDark1 2" pivot="0" table="0" count="10">
      <tableStyleElement type="wholeTable" dxfId="156"/>
      <tableStyleElement type="headerRow" dxfId="155"/>
    </tableStyle>
    <tableStyle name="SlicerStyleDark1 2 2" pivot="0" table="0" count="10">
      <tableStyleElement type="wholeTable" dxfId="72"/>
      <tableStyleElement type="headerRow" dxfId="71"/>
    </tableStyle>
  </tableStyles>
  <colors>
    <mruColors>
      <color rgb="FFF7F9FF"/>
      <color rgb="FFFFFFFF"/>
      <color rgb="FF080125"/>
      <color rgb="FF00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4"/>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ANALYSIS!$E$25</c:f>
              <c:strCache>
                <c:ptCount val="1"/>
                <c:pt idx="0">
                  <c:v>TOTAL FREIGHT COST</c:v>
                </c:pt>
              </c:strCache>
            </c:strRef>
          </c:tx>
          <c:spPr>
            <a:solidFill>
              <a:schemeClr val="accent1"/>
            </a:solidFill>
            <a:ln>
              <a:noFill/>
            </a:ln>
            <a:effectLst/>
          </c:spPr>
          <c:invertIfNegative val="0"/>
          <c:val>
            <c:numRef>
              <c:f>ANALYSIS!$F$25:$J$25</c:f>
              <c:numCache>
                <c:formatCode>General</c:formatCode>
                <c:ptCount val="5"/>
                <c:pt idx="0">
                  <c:v>11961011</c:v>
                </c:pt>
                <c:pt idx="1">
                  <c:v>12708445</c:v>
                </c:pt>
                <c:pt idx="2">
                  <c:v>14286345</c:v>
                </c:pt>
                <c:pt idx="3">
                  <c:v>13553728</c:v>
                </c:pt>
                <c:pt idx="4">
                  <c:v>11318019</c:v>
                </c:pt>
              </c:numCache>
            </c:numRef>
          </c:val>
          <c:extLst>
            <c:ext xmlns:c16="http://schemas.microsoft.com/office/drawing/2014/chart" uri="{C3380CC4-5D6E-409C-BE32-E72D297353CC}">
              <c16:uniqueId val="{00000000-8740-460C-A1D8-62A1018857BE}"/>
            </c:ext>
          </c:extLst>
        </c:ser>
        <c:dLbls>
          <c:showLegendKey val="0"/>
          <c:showVal val="0"/>
          <c:showCatName val="0"/>
          <c:showSerName val="0"/>
          <c:showPercent val="0"/>
          <c:showBubbleSize val="0"/>
        </c:dLbls>
        <c:gapWidth val="182"/>
        <c:axId val="630349424"/>
        <c:axId val="630350080"/>
      </c:barChart>
      <c:catAx>
        <c:axId val="63034942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50080"/>
        <c:crosses val="autoZero"/>
        <c:auto val="1"/>
        <c:lblAlgn val="ctr"/>
        <c:lblOffset val="100"/>
        <c:noMultiLvlLbl val="0"/>
      </c:catAx>
      <c:valAx>
        <c:axId val="63035008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034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[Freight_Cost_Analysis_Dataset.xlsx]ANALYSIS!PivotTable7</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80125"/>
          </a:solidFill>
          <a:ln>
            <a:noFill/>
          </a:ln>
          <a:effectLst/>
        </c:spPr>
      </c:pivotFmt>
      <c:pivotFmt>
        <c:idx val="3"/>
        <c:spPr>
          <a:solidFill>
            <a:srgbClr val="F7F9FF"/>
          </a:solidFill>
          <a:ln>
            <a:noFill/>
          </a:ln>
          <a:effectLst/>
        </c:spPr>
      </c:pivotFmt>
      <c:pivotFmt>
        <c:idx val="4"/>
        <c:spPr>
          <a:solidFill>
            <a:srgbClr val="080125"/>
          </a:solidFill>
          <a:ln>
            <a:noFill/>
          </a:ln>
          <a:effectLst/>
        </c:spPr>
        <c:marker>
          <c:symbol val="none"/>
        </c:marker>
      </c:pivotFmt>
      <c:pivotFmt>
        <c:idx val="5"/>
        <c:spPr>
          <a:solidFill>
            <a:srgbClr val="F7F9FF"/>
          </a:solidFill>
          <a:ln>
            <a:noFill/>
          </a:ln>
          <a:effectLst/>
        </c:spPr>
        <c:marker>
          <c:symbol val="none"/>
        </c:marker>
      </c:pivotFmt>
      <c:pivotFmt>
        <c:idx val="6"/>
        <c:spPr>
          <a:solidFill>
            <a:srgbClr val="080125"/>
          </a:solidFill>
          <a:ln>
            <a:noFill/>
          </a:ln>
          <a:effectLst/>
        </c:spPr>
        <c:marker>
          <c:symbol val="none"/>
        </c:marker>
      </c:pivotFmt>
      <c:pivotFmt>
        <c:idx val="7"/>
        <c:spPr>
          <a:solidFill>
            <a:srgbClr val="F7F9FF"/>
          </a:solidFill>
          <a:ln>
            <a:noFill/>
          </a:ln>
          <a:effectLst/>
        </c:spPr>
        <c:marker>
          <c:symbol val="none"/>
        </c:marker>
      </c:pivotFmt>
    </c:pivotFmts>
    <c:plotArea>
      <c:layout>
        <c:manualLayout>
          <c:layoutTarget val="inner"/>
          <c:xMode val="edge"/>
          <c:yMode val="edge"/>
          <c:x val="5.4828671195559391E-2"/>
          <c:y val="0.19692288608321154"/>
          <c:w val="0.89034265760888121"/>
          <c:h val="0.63897470884744545"/>
        </c:manualLayout>
      </c:layout>
      <c:barChart>
        <c:barDir val="bar"/>
        <c:grouping val="stacked"/>
        <c:varyColors val="0"/>
        <c:ser>
          <c:idx val="0"/>
          <c:order val="0"/>
          <c:tx>
            <c:strRef>
              <c:f>ANALYSIS!$C$36</c:f>
              <c:strCache>
                <c:ptCount val="1"/>
                <c:pt idx="0">
                  <c:v>TOTAL FREIGHT COST</c:v>
                </c:pt>
              </c:strCache>
            </c:strRef>
          </c:tx>
          <c:spPr>
            <a:solidFill>
              <a:srgbClr val="080125"/>
            </a:solidFill>
            <a:ln>
              <a:noFill/>
            </a:ln>
            <a:effectLst/>
          </c:spPr>
          <c:invertIfNegative val="0"/>
          <c:cat>
            <c:strRef>
              <c:f>ANALYSIS!$C$37</c:f>
              <c:strCache>
                <c:ptCount val="1"/>
                <c:pt idx="0">
                  <c:v>Total</c:v>
                </c:pt>
              </c:strCache>
            </c:strRef>
          </c:cat>
          <c:val>
            <c:numRef>
              <c:f>ANALYSIS!$C$37</c:f>
              <c:numCache>
                <c:formatCode>[&gt;=100000]\₦0,,"M";[&gt;1000]\₦0,"K";0</c:formatCode>
                <c:ptCount val="1"/>
                <c:pt idx="0">
                  <c:v>93070468</c:v>
                </c:pt>
              </c:numCache>
            </c:numRef>
          </c:val>
          <c:extLst>
            <c:ext xmlns:c16="http://schemas.microsoft.com/office/drawing/2014/chart" uri="{C3380CC4-5D6E-409C-BE32-E72D297353CC}">
              <c16:uniqueId val="{00000000-5489-4E12-85F0-25115F162DEE}"/>
            </c:ext>
          </c:extLst>
        </c:ser>
        <c:ser>
          <c:idx val="1"/>
          <c:order val="1"/>
          <c:tx>
            <c:strRef>
              <c:f>ANALYSIS!$D$36</c:f>
              <c:strCache>
                <c:ptCount val="1"/>
                <c:pt idx="0">
                  <c:v>FREIGHT COST VARIANCE</c:v>
                </c:pt>
              </c:strCache>
            </c:strRef>
          </c:tx>
          <c:spPr>
            <a:solidFill>
              <a:srgbClr val="F7F9FF"/>
            </a:solidFill>
            <a:ln>
              <a:noFill/>
            </a:ln>
            <a:effectLst/>
          </c:spPr>
          <c:invertIfNegative val="0"/>
          <c:cat>
            <c:strRef>
              <c:f>ANALYSIS!$C$37</c:f>
              <c:strCache>
                <c:ptCount val="1"/>
                <c:pt idx="0">
                  <c:v>Total</c:v>
                </c:pt>
              </c:strCache>
            </c:strRef>
          </c:cat>
          <c:val>
            <c:numRef>
              <c:f>ANALYSIS!$D$37</c:f>
              <c:numCache>
                <c:formatCode>[&gt;=100000]\₦0,,"M";[&gt;1000]\₦0,"K";0</c:formatCode>
                <c:ptCount val="1"/>
                <c:pt idx="0">
                  <c:v>3835428</c:v>
                </c:pt>
              </c:numCache>
            </c:numRef>
          </c:val>
          <c:extLst>
            <c:ext xmlns:c16="http://schemas.microsoft.com/office/drawing/2014/chart" uri="{C3380CC4-5D6E-409C-BE32-E72D297353CC}">
              <c16:uniqueId val="{00000001-5489-4E12-85F0-25115F162DEE}"/>
            </c:ext>
          </c:extLst>
        </c:ser>
        <c:dLbls>
          <c:showLegendKey val="0"/>
          <c:showVal val="0"/>
          <c:showCatName val="0"/>
          <c:showSerName val="0"/>
          <c:showPercent val="0"/>
          <c:showBubbleSize val="0"/>
        </c:dLbls>
        <c:gapWidth val="150"/>
        <c:overlap val="100"/>
        <c:axId val="667354408"/>
        <c:axId val="667356704"/>
      </c:barChart>
      <c:catAx>
        <c:axId val="667354408"/>
        <c:scaling>
          <c:orientation val="minMax"/>
        </c:scaling>
        <c:delete val="1"/>
        <c:axPos val="l"/>
        <c:numFmt formatCode="General" sourceLinked="1"/>
        <c:majorTickMark val="none"/>
        <c:minorTickMark val="none"/>
        <c:tickLblPos val="nextTo"/>
        <c:crossAx val="667356704"/>
        <c:crosses val="autoZero"/>
        <c:auto val="1"/>
        <c:lblAlgn val="ctr"/>
        <c:lblOffset val="100"/>
        <c:noMultiLvlLbl val="0"/>
      </c:catAx>
      <c:valAx>
        <c:axId val="667356704"/>
        <c:scaling>
          <c:orientation val="minMax"/>
        </c:scaling>
        <c:delete val="1"/>
        <c:axPos val="b"/>
        <c:numFmt formatCode="[&gt;=100000]\₦0,,&quot;M&quot;;[&gt;1000]\₦0,&quot;K&quot;;0" sourceLinked="1"/>
        <c:majorTickMark val="none"/>
        <c:minorTickMark val="none"/>
        <c:tickLblPos val="nextTo"/>
        <c:crossAx val="667354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[Freight_Cost_Analysis_Dataset.xlsx]ANALYSIS!PivotTable8</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0000"/>
          </a:solidFill>
          <a:ln>
            <a:noFill/>
          </a:ln>
          <a:effectLst/>
        </c:spPr>
      </c:pivotFmt>
      <c:pivotFmt>
        <c:idx val="3"/>
        <c:spPr>
          <a:solidFill>
            <a:srgbClr val="FFFFFF"/>
          </a:solidFill>
          <a:ln>
            <a:noFill/>
          </a:ln>
          <a:effectLst/>
        </c:spPr>
      </c:pivotFmt>
      <c:pivotFmt>
        <c:idx val="4"/>
        <c:spPr>
          <a:solidFill>
            <a:srgbClr val="000000"/>
          </a:solidFill>
          <a:ln>
            <a:noFill/>
          </a:ln>
          <a:effectLst/>
        </c:spPr>
        <c:marker>
          <c:symbol val="none"/>
        </c:marker>
      </c:pivotFmt>
      <c:pivotFmt>
        <c:idx val="5"/>
        <c:spPr>
          <a:solidFill>
            <a:srgbClr val="FFFFFF"/>
          </a:solidFill>
          <a:ln>
            <a:noFill/>
          </a:ln>
          <a:effectLst/>
        </c:spPr>
        <c:marker>
          <c:symbol val="none"/>
        </c:marker>
      </c:pivotFmt>
      <c:pivotFmt>
        <c:idx val="6"/>
        <c:spPr>
          <a:solidFill>
            <a:srgbClr val="0070C0"/>
          </a:solidFill>
          <a:ln>
            <a:noFill/>
          </a:ln>
          <a:effectLst/>
        </c:spPr>
        <c:marker>
          <c:symbol val="none"/>
        </c:marker>
      </c:pivotFmt>
      <c:pivotFmt>
        <c:idx val="7"/>
        <c:spPr>
          <a:solidFill>
            <a:srgbClr val="000000"/>
          </a:solidFill>
          <a:ln>
            <a:noFill/>
          </a:ln>
          <a:effectLst/>
        </c:spPr>
        <c:marker>
          <c:symbol val="none"/>
        </c:marker>
      </c:pivotFmt>
    </c:pivotFmts>
    <c:plotArea>
      <c:layout>
        <c:manualLayout>
          <c:layoutTarget val="inner"/>
          <c:xMode val="edge"/>
          <c:yMode val="edge"/>
          <c:x val="3.0555781957263752E-2"/>
          <c:y val="0.12981019074140962"/>
          <c:w val="0.93888888888888888"/>
          <c:h val="0.79957116550730234"/>
        </c:manualLayout>
      </c:layout>
      <c:barChart>
        <c:barDir val="bar"/>
        <c:grouping val="percentStacked"/>
        <c:varyColors val="0"/>
        <c:ser>
          <c:idx val="0"/>
          <c:order val="0"/>
          <c:tx>
            <c:strRef>
              <c:f>ANALYSIS!$C$39</c:f>
              <c:strCache>
                <c:ptCount val="1"/>
                <c:pt idx="0">
                  <c:v>FREIGHT COST VARIANCE</c:v>
                </c:pt>
              </c:strCache>
            </c:strRef>
          </c:tx>
          <c:spPr>
            <a:solidFill>
              <a:srgbClr val="0070C0"/>
            </a:solidFill>
            <a:ln>
              <a:noFill/>
            </a:ln>
            <a:effectLst/>
          </c:spPr>
          <c:invertIfNegative val="0"/>
          <c:cat>
            <c:strRef>
              <c:f>ANALYSIS!$C$40</c:f>
              <c:strCache>
                <c:ptCount val="1"/>
                <c:pt idx="0">
                  <c:v>Total</c:v>
                </c:pt>
              </c:strCache>
            </c:strRef>
          </c:cat>
          <c:val>
            <c:numRef>
              <c:f>ANALYSIS!$C$40</c:f>
              <c:numCache>
                <c:formatCode>[&gt;=100000]\₦0,,"M";[&gt;1000]\₦0,"K";0</c:formatCode>
                <c:ptCount val="1"/>
                <c:pt idx="0">
                  <c:v>3835428</c:v>
                </c:pt>
              </c:numCache>
            </c:numRef>
          </c:val>
          <c:extLst>
            <c:ext xmlns:c16="http://schemas.microsoft.com/office/drawing/2014/chart" uri="{C3380CC4-5D6E-409C-BE32-E72D297353CC}">
              <c16:uniqueId val="{00000000-2149-4618-BEFE-BF6478220264}"/>
            </c:ext>
          </c:extLst>
        </c:ser>
        <c:ser>
          <c:idx val="1"/>
          <c:order val="1"/>
          <c:tx>
            <c:strRef>
              <c:f>ANALYSIS!$D$39</c:f>
              <c:strCache>
                <c:ptCount val="1"/>
                <c:pt idx="0">
                  <c:v>TOTAL FREIGHT COST</c:v>
                </c:pt>
              </c:strCache>
            </c:strRef>
          </c:tx>
          <c:spPr>
            <a:solidFill>
              <a:srgbClr val="000000"/>
            </a:solidFill>
            <a:ln>
              <a:noFill/>
            </a:ln>
            <a:effectLst/>
          </c:spPr>
          <c:invertIfNegative val="0"/>
          <c:cat>
            <c:strRef>
              <c:f>ANALYSIS!$C$40</c:f>
              <c:strCache>
                <c:ptCount val="1"/>
                <c:pt idx="0">
                  <c:v>Total</c:v>
                </c:pt>
              </c:strCache>
            </c:strRef>
          </c:cat>
          <c:val>
            <c:numRef>
              <c:f>ANALYSIS!$D$40</c:f>
              <c:numCache>
                <c:formatCode>[&gt;=100000]\₦0,,"M";[&gt;1000]\₦0,"K";0</c:formatCode>
                <c:ptCount val="1"/>
                <c:pt idx="0">
                  <c:v>93070468</c:v>
                </c:pt>
              </c:numCache>
            </c:numRef>
          </c:val>
          <c:extLst>
            <c:ext xmlns:c16="http://schemas.microsoft.com/office/drawing/2014/chart" uri="{C3380CC4-5D6E-409C-BE32-E72D297353CC}">
              <c16:uniqueId val="{00000001-2149-4618-BEFE-BF6478220264}"/>
            </c:ext>
          </c:extLst>
        </c:ser>
        <c:dLbls>
          <c:showLegendKey val="0"/>
          <c:showVal val="0"/>
          <c:showCatName val="0"/>
          <c:showSerName val="0"/>
          <c:showPercent val="0"/>
          <c:showBubbleSize val="0"/>
        </c:dLbls>
        <c:gapWidth val="150"/>
        <c:overlap val="100"/>
        <c:axId val="410803704"/>
        <c:axId val="410800424"/>
      </c:barChart>
      <c:catAx>
        <c:axId val="410803704"/>
        <c:scaling>
          <c:orientation val="minMax"/>
        </c:scaling>
        <c:delete val="1"/>
        <c:axPos val="l"/>
        <c:numFmt formatCode="General" sourceLinked="1"/>
        <c:majorTickMark val="none"/>
        <c:minorTickMark val="none"/>
        <c:tickLblPos val="nextTo"/>
        <c:crossAx val="410800424"/>
        <c:crosses val="autoZero"/>
        <c:auto val="1"/>
        <c:lblAlgn val="ctr"/>
        <c:lblOffset val="100"/>
        <c:noMultiLvlLbl val="0"/>
      </c:catAx>
      <c:valAx>
        <c:axId val="410800424"/>
        <c:scaling>
          <c:orientation val="minMax"/>
        </c:scaling>
        <c:delete val="1"/>
        <c:axPos val="b"/>
        <c:numFmt formatCode="0%" sourceLinked="1"/>
        <c:majorTickMark val="none"/>
        <c:minorTickMark val="none"/>
        <c:tickLblPos val="nextTo"/>
        <c:crossAx val="410803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[Freight_Cost_Analysis_Dataset.xlsx]ANALYSIS!PivotTable9</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80125"/>
          </a:solidFill>
          <a:ln>
            <a:noFill/>
          </a:ln>
          <a:effectLst/>
        </c:spPr>
      </c:pivotFmt>
      <c:pivotFmt>
        <c:idx val="3"/>
        <c:spPr>
          <a:solidFill>
            <a:srgbClr val="0070C0"/>
          </a:solidFill>
          <a:ln>
            <a:noFill/>
          </a:ln>
          <a:effectLst/>
        </c:spPr>
      </c:pivotFmt>
      <c:pivotFmt>
        <c:idx val="4"/>
        <c:spPr>
          <a:solidFill>
            <a:srgbClr val="080125"/>
          </a:solidFill>
          <a:ln>
            <a:noFill/>
          </a:ln>
          <a:effectLst/>
        </c:spPr>
        <c:marker>
          <c:symbol val="none"/>
        </c:marker>
      </c:pivotFmt>
      <c:pivotFmt>
        <c:idx val="5"/>
        <c:spPr>
          <a:solidFill>
            <a:srgbClr val="0070C0"/>
          </a:solidFill>
          <a:ln>
            <a:noFill/>
          </a:ln>
          <a:effectLst/>
        </c:spPr>
        <c:marker>
          <c:symbol val="none"/>
        </c:marker>
      </c:pivotFmt>
      <c:pivotFmt>
        <c:idx val="6"/>
        <c:spPr>
          <a:solidFill>
            <a:srgbClr val="0070C0"/>
          </a:solidFill>
          <a:ln>
            <a:noFill/>
          </a:ln>
          <a:effectLst/>
        </c:spPr>
        <c:marker>
          <c:symbol val="none"/>
        </c:marker>
      </c:pivotFmt>
      <c:pivotFmt>
        <c:idx val="7"/>
        <c:spPr>
          <a:solidFill>
            <a:srgbClr val="000000"/>
          </a:solidFill>
          <a:ln>
            <a:noFill/>
          </a:ln>
          <a:effectLst/>
        </c:spPr>
        <c:marker>
          <c:symbol val="none"/>
        </c:marker>
      </c:pivotFmt>
    </c:pivotFmts>
    <c:plotArea>
      <c:layout/>
      <c:barChart>
        <c:barDir val="bar"/>
        <c:grouping val="percentStacked"/>
        <c:varyColors val="0"/>
        <c:ser>
          <c:idx val="0"/>
          <c:order val="0"/>
          <c:tx>
            <c:strRef>
              <c:f>ANALYSIS!$C$42</c:f>
              <c:strCache>
                <c:ptCount val="1"/>
                <c:pt idx="0">
                  <c:v>AVERAGE COST PER KM</c:v>
                </c:pt>
              </c:strCache>
            </c:strRef>
          </c:tx>
          <c:spPr>
            <a:solidFill>
              <a:srgbClr val="0070C0"/>
            </a:solidFill>
            <a:ln>
              <a:noFill/>
            </a:ln>
            <a:effectLst/>
          </c:spPr>
          <c:invertIfNegative val="0"/>
          <c:cat>
            <c:strRef>
              <c:f>ANALYSIS!$C$43</c:f>
              <c:strCache>
                <c:ptCount val="1"/>
                <c:pt idx="0">
                  <c:v>Total</c:v>
                </c:pt>
              </c:strCache>
            </c:strRef>
          </c:cat>
          <c:val>
            <c:numRef>
              <c:f>ANALYSIS!$C$43</c:f>
              <c:numCache>
                <c:formatCode>[&gt;=100000]\₦0,,"M";[&gt;1000]\₦0,"K";0</c:formatCode>
                <c:ptCount val="1"/>
                <c:pt idx="0">
                  <c:v>595.4375903676123</c:v>
                </c:pt>
              </c:numCache>
            </c:numRef>
          </c:val>
          <c:extLst>
            <c:ext xmlns:c16="http://schemas.microsoft.com/office/drawing/2014/chart" uri="{C3380CC4-5D6E-409C-BE32-E72D297353CC}">
              <c16:uniqueId val="{00000000-6DC8-4D39-BAEF-A1234DDD7EC4}"/>
            </c:ext>
          </c:extLst>
        </c:ser>
        <c:ser>
          <c:idx val="1"/>
          <c:order val="1"/>
          <c:tx>
            <c:strRef>
              <c:f>ANALYSIS!$D$42</c:f>
              <c:strCache>
                <c:ptCount val="1"/>
                <c:pt idx="0">
                  <c:v>Max of Distance_KM</c:v>
                </c:pt>
              </c:strCache>
            </c:strRef>
          </c:tx>
          <c:spPr>
            <a:solidFill>
              <a:srgbClr val="000000"/>
            </a:solidFill>
            <a:ln>
              <a:noFill/>
            </a:ln>
            <a:effectLst/>
          </c:spPr>
          <c:invertIfNegative val="0"/>
          <c:cat>
            <c:strRef>
              <c:f>ANALYSIS!$C$43</c:f>
              <c:strCache>
                <c:ptCount val="1"/>
                <c:pt idx="0">
                  <c:v>Total</c:v>
                </c:pt>
              </c:strCache>
            </c:strRef>
          </c:cat>
          <c:val>
            <c:numRef>
              <c:f>ANALYSIS!$D$43</c:f>
              <c:numCache>
                <c:formatCode>General</c:formatCode>
                <c:ptCount val="1"/>
                <c:pt idx="0">
                  <c:v>1186</c:v>
                </c:pt>
              </c:numCache>
            </c:numRef>
          </c:val>
          <c:extLst>
            <c:ext xmlns:c16="http://schemas.microsoft.com/office/drawing/2014/chart" uri="{C3380CC4-5D6E-409C-BE32-E72D297353CC}">
              <c16:uniqueId val="{00000001-6DC8-4D39-BAEF-A1234DDD7EC4}"/>
            </c:ext>
          </c:extLst>
        </c:ser>
        <c:dLbls>
          <c:showLegendKey val="0"/>
          <c:showVal val="0"/>
          <c:showCatName val="0"/>
          <c:showSerName val="0"/>
          <c:showPercent val="0"/>
          <c:showBubbleSize val="0"/>
        </c:dLbls>
        <c:gapWidth val="150"/>
        <c:overlap val="100"/>
        <c:axId val="374517040"/>
        <c:axId val="374516712"/>
      </c:barChart>
      <c:catAx>
        <c:axId val="374517040"/>
        <c:scaling>
          <c:orientation val="minMax"/>
        </c:scaling>
        <c:delete val="1"/>
        <c:axPos val="l"/>
        <c:numFmt formatCode="General" sourceLinked="1"/>
        <c:majorTickMark val="none"/>
        <c:minorTickMark val="none"/>
        <c:tickLblPos val="nextTo"/>
        <c:crossAx val="374516712"/>
        <c:crosses val="autoZero"/>
        <c:auto val="1"/>
        <c:lblAlgn val="ctr"/>
        <c:lblOffset val="100"/>
        <c:noMultiLvlLbl val="0"/>
      </c:catAx>
      <c:valAx>
        <c:axId val="374516712"/>
        <c:scaling>
          <c:orientation val="minMax"/>
        </c:scaling>
        <c:delete val="1"/>
        <c:axPos val="b"/>
        <c:numFmt formatCode="0%" sourceLinked="1"/>
        <c:majorTickMark val="none"/>
        <c:minorTickMark val="none"/>
        <c:tickLblPos val="nextTo"/>
        <c:crossAx val="374517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pivotFmt>
      <c:pivotFmt>
        <c:idx val="3"/>
        <c:spPr>
          <a:solidFill>
            <a:schemeClr val="accent1">
              <a:lumMod val="20000"/>
              <a:lumOff val="80000"/>
            </a:schemeClr>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lumMod val="40000"/>
              <a:lumOff val="6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40000"/>
              <a:lumOff val="60000"/>
            </a:schemeClr>
          </a:solidFill>
          <a:ln>
            <a:noFill/>
          </a:ln>
          <a:effectLst/>
        </c:spPr>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84E3-4474-A3A7-633BEE703516}"/>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84E3-4474-A3A7-633BEE703516}"/>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84E3-4474-A3A7-633BEE703516}"/>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84E3-4474-A3A7-633BEE703516}"/>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84E3-4474-A3A7-633BEE703516}"/>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ANALYSIS!$A$9:$A$14</c:f>
              <c:strCache>
                <c:ptCount val="6"/>
                <c:pt idx="0">
                  <c:v>Aramex</c:v>
                </c:pt>
                <c:pt idx="1">
                  <c:v>DHL</c:v>
                </c:pt>
                <c:pt idx="2">
                  <c:v>FedEx</c:v>
                </c:pt>
                <c:pt idx="3">
                  <c:v>GIG Logistics</c:v>
                </c:pt>
                <c:pt idx="4">
                  <c:v>TransLink</c:v>
                </c:pt>
                <c:pt idx="5">
                  <c:v>UPS</c:v>
                </c:pt>
              </c:strCache>
            </c:strRef>
          </c:cat>
          <c:val>
            <c:numRef>
              <c:f>ANALYSIS!$B$9:$B$14</c:f>
              <c:numCache>
                <c:formatCode>[&gt;=100000]\₦0,,"M";[&gt;1000]\₦0,"K";0</c:formatCode>
                <c:ptCount val="6"/>
                <c:pt idx="0">
                  <c:v>14562579</c:v>
                </c:pt>
                <c:pt idx="1">
                  <c:v>16564934</c:v>
                </c:pt>
                <c:pt idx="2">
                  <c:v>16069370</c:v>
                </c:pt>
                <c:pt idx="3">
                  <c:v>16830147</c:v>
                </c:pt>
                <c:pt idx="4">
                  <c:v>15052149</c:v>
                </c:pt>
                <c:pt idx="5">
                  <c:v>13991289</c:v>
                </c:pt>
              </c:numCache>
            </c:numRef>
          </c:val>
          <c:extLst>
            <c:ext xmlns:c16="http://schemas.microsoft.com/office/drawing/2014/chart" uri="{C3380CC4-5D6E-409C-BE32-E72D297353CC}">
              <c16:uniqueId val="{0000000A-84E3-4474-A3A7-633BEE703516}"/>
            </c:ext>
          </c:extLst>
        </c:ser>
        <c:dLbls>
          <c:dLblPos val="inEnd"/>
          <c:showLegendKey val="0"/>
          <c:showVal val="1"/>
          <c:showCatName val="0"/>
          <c:showSerName val="0"/>
          <c:showPercent val="0"/>
          <c:showBubbleSize val="0"/>
        </c:dLbls>
        <c:gapWidth val="23"/>
        <c:overlap val="71"/>
        <c:axId val="664102400"/>
        <c:axId val="664103712"/>
      </c:barChart>
      <c:catAx>
        <c:axId val="6641024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endParaRPr lang="en-US"/>
          </a:p>
        </c:txPr>
        <c:crossAx val="664103712"/>
        <c:crosses val="autoZero"/>
        <c:auto val="1"/>
        <c:lblAlgn val="ctr"/>
        <c:lblOffset val="100"/>
        <c:noMultiLvlLbl val="0"/>
      </c:catAx>
      <c:valAx>
        <c:axId val="664103712"/>
        <c:scaling>
          <c:orientation val="minMax"/>
        </c:scaling>
        <c:delete val="1"/>
        <c:axPos val="b"/>
        <c:numFmt formatCode="[&gt;=100000]\₦0,,&quot;M&quot;;[&gt;1000]\₦0,&quot;K&quot;;0" sourceLinked="1"/>
        <c:majorTickMark val="none"/>
        <c:minorTickMark val="none"/>
        <c:tickLblPos val="nextTo"/>
        <c:crossAx val="664102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[Freight_Cost_Analysis_Dataset.xlsx]ANALYSIS!PivotTable4</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chemeClr val="bg1"/>
                </a:solidFill>
                <a:latin typeface="Trebuchet MS" panose="020B0603020202020204" pitchFamily="34" charset="0"/>
                <a:ea typeface="+mn-ea"/>
                <a:cs typeface="+mn-cs"/>
              </a:defRPr>
            </a:pPr>
            <a:r>
              <a:rPr lang="en-US" sz="1800" b="1" i="0">
                <a:solidFill>
                  <a:schemeClr val="bg1"/>
                </a:solidFill>
                <a:effectLst/>
                <a:latin typeface="Trebuchet MS" panose="020B0603020202020204" pitchFamily="34" charset="0"/>
              </a:rPr>
              <a:t>Freight Cost by Mode </a:t>
            </a:r>
            <a:endParaRPr lang="en-US" sz="1800" b="1">
              <a:solidFill>
                <a:schemeClr val="bg1"/>
              </a:solidFill>
              <a:effectLst/>
              <a:latin typeface="Trebuchet MS" panose="020B0603020202020204" pitchFamily="34" charset="0"/>
            </a:endParaRPr>
          </a:p>
          <a:p>
            <a:pPr marL="0" marR="0" indent="0" algn="ctr" defTabSz="914400" rtl="0" eaLnBrk="1" fontAlgn="auto" latinLnBrk="0" hangingPunct="1">
              <a:lnSpc>
                <a:spcPct val="100000"/>
              </a:lnSpc>
              <a:spcBef>
                <a:spcPts val="0"/>
              </a:spcBef>
              <a:spcAft>
                <a:spcPts val="0"/>
              </a:spcAft>
              <a:buClrTx/>
              <a:buSzTx/>
              <a:buFontTx/>
              <a:buNone/>
              <a:tabLst/>
              <a:defRPr sz="1800" b="1">
                <a:solidFill>
                  <a:schemeClr val="bg1"/>
                </a:solidFill>
                <a:latin typeface="Trebuchet MS" panose="020B0603020202020204" pitchFamily="34" charset="0"/>
              </a:defRPr>
            </a:pPr>
            <a:endParaRPr lang="en-US" sz="1800" b="1">
              <a:solidFill>
                <a:schemeClr val="bg1"/>
              </a:solidFill>
              <a:latin typeface="Trebuchet MS" panose="020B0603020202020204" pitchFamily="34" charset="0"/>
            </a:endParaRPr>
          </a:p>
        </c:rich>
      </c:tx>
      <c:layout>
        <c:manualLayout>
          <c:xMode val="edge"/>
          <c:yMode val="edge"/>
          <c:x val="8.3966157396579255E-2"/>
          <c:y val="1.7777783999224497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chemeClr val="bg1"/>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lumMod val="40000"/>
              <a:lumOff val="60000"/>
            </a:schemeClr>
          </a:solidFill>
          <a:ln w="19050">
            <a:solidFill>
              <a:schemeClr val="lt1"/>
            </a:solidFill>
          </a:ln>
          <a:effectLst/>
        </c:spPr>
      </c:pivotFmt>
      <c:pivotFmt>
        <c:idx val="2"/>
        <c:spPr>
          <a:solidFill>
            <a:srgbClr val="F7F9FF"/>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F7F9FF"/>
          </a:solidFill>
          <a:ln w="19050">
            <a:solidFill>
              <a:schemeClr val="lt1"/>
            </a:solidFill>
          </a:ln>
          <a:effectLst/>
        </c:spPr>
      </c:pivotFmt>
      <c:pivotFmt>
        <c:idx val="5"/>
        <c:spPr>
          <a:solidFill>
            <a:schemeClr val="accent1">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rgbClr val="F7F9FF"/>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2473871391439356"/>
              <c:y val="0.1866667319918570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lumMod val="20000"/>
              <a:lumOff val="80000"/>
            </a:schemeClr>
          </a:solidFill>
          <a:ln w="19050">
            <a:solidFill>
              <a:schemeClr val="lt1"/>
            </a:solidFill>
          </a:ln>
          <a:effectLst/>
        </c:spPr>
        <c:dLbl>
          <c:idx val="0"/>
          <c:layout>
            <c:manualLayout>
              <c:x val="-7.5599220554178018E-2"/>
              <c:y val="-0.302222327986816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ANALYSIS!$B$21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69-41C7-94F3-22F4586A19F2}"/>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2669-41C7-94F3-22F4586A19F2}"/>
              </c:ext>
            </c:extLst>
          </c:dPt>
          <c:dLbls>
            <c:dLbl>
              <c:idx val="0"/>
              <c:layout>
                <c:manualLayout>
                  <c:x val="0.12473871391439356"/>
                  <c:y val="0.1866667319918570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669-41C7-94F3-22F4586A19F2}"/>
                </c:ext>
              </c:extLst>
            </c:dLbl>
            <c:dLbl>
              <c:idx val="1"/>
              <c:layout>
                <c:manualLayout>
                  <c:x val="-7.5599220554178018E-2"/>
                  <c:y val="-0.3022223279868164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2669-41C7-94F3-22F4586A19F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ANALYSIS!$A$22:$A$23</c:f>
              <c:strCache>
                <c:ptCount val="2"/>
                <c:pt idx="0">
                  <c:v>Air</c:v>
                </c:pt>
                <c:pt idx="1">
                  <c:v>Road</c:v>
                </c:pt>
              </c:strCache>
            </c:strRef>
          </c:cat>
          <c:val>
            <c:numRef>
              <c:f>ANALYSIS!$B$22:$B$23</c:f>
              <c:numCache>
                <c:formatCode>0.00%</c:formatCode>
                <c:ptCount val="2"/>
                <c:pt idx="0">
                  <c:v>0.60381651889834698</c:v>
                </c:pt>
                <c:pt idx="1">
                  <c:v>0.39618348110165302</c:v>
                </c:pt>
              </c:numCache>
            </c:numRef>
          </c:val>
          <c:extLst>
            <c:ext xmlns:c16="http://schemas.microsoft.com/office/drawing/2014/chart" uri="{C3380CC4-5D6E-409C-BE32-E72D297353CC}">
              <c16:uniqueId val="{00000004-2669-41C7-94F3-22F4586A19F2}"/>
            </c:ext>
          </c:extLst>
        </c:ser>
        <c:dLbls>
          <c:showLegendKey val="0"/>
          <c:showVal val="0"/>
          <c:showCatName val="0"/>
          <c:showSerName val="0"/>
          <c:showPercent val="0"/>
          <c:showBubbleSize val="0"/>
          <c:showLeaderLines val="1"/>
        </c:dLbls>
        <c:firstSliceAng val="5"/>
        <c:holeSize val="77"/>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rebuchet MS" panose="020B0603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tx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rgbClr val="08012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marker>
          <c:symbol val="none"/>
        </c:marker>
      </c:pivotFmt>
      <c:pivotFmt>
        <c:idx val="16"/>
        <c:spPr>
          <a:solidFill>
            <a:schemeClr val="tx2">
              <a:lumMod val="60000"/>
              <a:lumOff val="40000"/>
            </a:schemeClr>
          </a:solidFill>
          <a:ln>
            <a:noFill/>
          </a:ln>
          <a:effectLst/>
        </c:spPr>
      </c:pivotFmt>
    </c:pivotFmts>
    <c:plotArea>
      <c:layout>
        <c:manualLayout>
          <c:layoutTarget val="inner"/>
          <c:xMode val="edge"/>
          <c:yMode val="edge"/>
          <c:x val="5.0847457627118647E-2"/>
          <c:y val="7.8876855859027206E-2"/>
          <c:w val="0.78982874015748028"/>
          <c:h val="0.88731783074151538"/>
        </c:manualLayout>
      </c:layout>
      <c:barChart>
        <c:barDir val="bar"/>
        <c:grouping val="percentStacked"/>
        <c:varyColors val="0"/>
        <c:ser>
          <c:idx val="0"/>
          <c:order val="0"/>
          <c:tx>
            <c:strRef>
              <c:f>ANALYSIS!$F$21:$F$22</c:f>
              <c:strCache>
                <c:ptCount val="1"/>
                <c:pt idx="0">
                  <c:v>Abuja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ANALYSIS!$F$23</c:f>
              <c:numCache>
                <c:formatCode>[&gt;=100000]\₦0,,"M";[&gt;1000]\₦0,"K";0</c:formatCode>
                <c:ptCount val="1"/>
                <c:pt idx="0">
                  <c:v>11961011</c:v>
                </c:pt>
              </c:numCache>
            </c:numRef>
          </c:val>
          <c:extLst>
            <c:ext xmlns:c16="http://schemas.microsoft.com/office/drawing/2014/chart" uri="{C3380CC4-5D6E-409C-BE32-E72D297353CC}">
              <c16:uniqueId val="{00000000-A506-4842-B45E-6F7D15B64617}"/>
            </c:ext>
          </c:extLst>
        </c:ser>
        <c:ser>
          <c:idx val="1"/>
          <c:order val="1"/>
          <c:tx>
            <c:strRef>
              <c:f>ANALYSIS!$G$21:$G$22</c:f>
              <c:strCache>
                <c:ptCount val="1"/>
                <c:pt idx="0">
                  <c:v>Accra</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ANALYSIS!$G$23</c:f>
              <c:numCache>
                <c:formatCode>[&gt;=100000]\₦0,,"M";[&gt;1000]\₦0,"K";0</c:formatCode>
                <c:ptCount val="1"/>
                <c:pt idx="0">
                  <c:v>12708445</c:v>
                </c:pt>
              </c:numCache>
            </c:numRef>
          </c:val>
          <c:extLst>
            <c:ext xmlns:c16="http://schemas.microsoft.com/office/drawing/2014/chart" uri="{C3380CC4-5D6E-409C-BE32-E72D297353CC}">
              <c16:uniqueId val="{00000001-A506-4842-B45E-6F7D15B64617}"/>
            </c:ext>
          </c:extLst>
        </c:ser>
        <c:ser>
          <c:idx val="2"/>
          <c:order val="2"/>
          <c:tx>
            <c:strRef>
              <c:f>ANALYSIS!$H$21:$H$22</c:f>
              <c:strCache>
                <c:ptCount val="1"/>
                <c:pt idx="0">
                  <c:v>Lagos</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ANALYSIS!$H$23</c:f>
              <c:numCache>
                <c:formatCode>[&gt;=100000]\₦0,,"M";[&gt;1000]\₦0,"K";0</c:formatCode>
                <c:ptCount val="1"/>
                <c:pt idx="0">
                  <c:v>14286345</c:v>
                </c:pt>
              </c:numCache>
            </c:numRef>
          </c:val>
          <c:extLst>
            <c:ext xmlns:c16="http://schemas.microsoft.com/office/drawing/2014/chart" uri="{C3380CC4-5D6E-409C-BE32-E72D297353CC}">
              <c16:uniqueId val="{00000002-A506-4842-B45E-6F7D15B64617}"/>
            </c:ext>
          </c:extLst>
        </c:ser>
        <c:ser>
          <c:idx val="3"/>
          <c:order val="3"/>
          <c:tx>
            <c:strRef>
              <c:f>ANALYSIS!$I$21:$I$22</c:f>
              <c:strCache>
                <c:ptCount val="1"/>
                <c:pt idx="0">
                  <c:v>Nairobi</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ANALYSIS!$I$23</c:f>
              <c:numCache>
                <c:formatCode>[&gt;=100000]\₦0,,"M";[&gt;1000]\₦0,"K";0</c:formatCode>
                <c:ptCount val="1"/>
                <c:pt idx="0">
                  <c:v>13553728</c:v>
                </c:pt>
              </c:numCache>
            </c:numRef>
          </c:val>
          <c:extLst>
            <c:ext xmlns:c16="http://schemas.microsoft.com/office/drawing/2014/chart" uri="{C3380CC4-5D6E-409C-BE32-E72D297353CC}">
              <c16:uniqueId val="{00000003-A506-4842-B45E-6F7D15B64617}"/>
            </c:ext>
          </c:extLst>
        </c:ser>
        <c:ser>
          <c:idx val="4"/>
          <c:order val="4"/>
          <c:tx>
            <c:strRef>
              <c:f>ANALYSIS!$J$21:$J$22</c:f>
              <c:strCache>
                <c:ptCount val="1"/>
                <c:pt idx="0">
                  <c:v>Takoradi</c:v>
                </c:pt>
              </c:strCache>
            </c:strRef>
          </c:tx>
          <c:spPr>
            <a:solidFill>
              <a:srgbClr val="08012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ANALYSIS!$J$23</c:f>
              <c:numCache>
                <c:formatCode>[&gt;=100000]\₦0,,"M";[&gt;1000]\₦0,"K";0</c:formatCode>
                <c:ptCount val="1"/>
                <c:pt idx="0">
                  <c:v>11318019</c:v>
                </c:pt>
              </c:numCache>
            </c:numRef>
          </c:val>
          <c:extLst>
            <c:ext xmlns:c16="http://schemas.microsoft.com/office/drawing/2014/chart" uri="{C3380CC4-5D6E-409C-BE32-E72D297353CC}">
              <c16:uniqueId val="{00000004-A506-4842-B45E-6F7D15B64617}"/>
            </c:ext>
          </c:extLst>
        </c:ser>
        <c:dLbls>
          <c:dLblPos val="ctr"/>
          <c:showLegendKey val="0"/>
          <c:showVal val="1"/>
          <c:showCatName val="0"/>
          <c:showSerName val="0"/>
          <c:showPercent val="0"/>
          <c:showBubbleSize val="0"/>
        </c:dLbls>
        <c:gapWidth val="326"/>
        <c:overlap val="100"/>
        <c:axId val="642885512"/>
        <c:axId val="642888136"/>
      </c:barChart>
      <c:catAx>
        <c:axId val="642885512"/>
        <c:scaling>
          <c:orientation val="minMax"/>
        </c:scaling>
        <c:delete val="1"/>
        <c:axPos val="l"/>
        <c:numFmt formatCode="General" sourceLinked="1"/>
        <c:majorTickMark val="none"/>
        <c:minorTickMark val="none"/>
        <c:tickLblPos val="nextTo"/>
        <c:crossAx val="642888136"/>
        <c:crosses val="autoZero"/>
        <c:auto val="1"/>
        <c:lblAlgn val="ctr"/>
        <c:lblOffset val="100"/>
        <c:noMultiLvlLbl val="0"/>
      </c:catAx>
      <c:valAx>
        <c:axId val="642888136"/>
        <c:scaling>
          <c:orientation val="minMax"/>
        </c:scaling>
        <c:delete val="1"/>
        <c:axPos val="b"/>
        <c:numFmt formatCode="0%" sourceLinked="1"/>
        <c:majorTickMark val="none"/>
        <c:minorTickMark val="none"/>
        <c:tickLblPos val="nextTo"/>
        <c:crossAx val="642885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[Freight_Cost_Analysis_Dataset.xlsx]ANALYSIS!PivotTable10</c:name>
    <c:fmtId val="5"/>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lt1"/>
            </a:solidFill>
          </a:ln>
          <a:effectLst/>
        </c:spPr>
      </c:pivotFmt>
      <c:pivotFmt>
        <c:idx val="4"/>
      </c:pivotFmt>
      <c:pivotFmt>
        <c:idx val="5"/>
        <c:spPr>
          <a:solidFill>
            <a:schemeClr val="accent1">
              <a:lumMod val="60000"/>
              <a:lumOff val="40000"/>
            </a:schemeClr>
          </a:solidFill>
          <a:ln w="19050">
            <a:solidFill>
              <a:schemeClr val="lt1"/>
            </a:solidFill>
          </a:ln>
          <a:effectLst/>
        </c:spPr>
        <c:dLbl>
          <c:idx val="0"/>
          <c:layout>
            <c:manualLayout>
              <c:x val="2.7777024706753485E-3"/>
              <c:y val="-0.3379421108405869"/>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80433393735319"/>
                  <c:h val="0.18317764912960524"/>
                </c:manualLayout>
              </c15:layout>
            </c:ext>
          </c:extLst>
        </c:dLbl>
      </c:pivotFmt>
      <c:pivotFmt>
        <c:idx val="6"/>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dLbl>
          <c:idx val="0"/>
          <c:layout>
            <c:manualLayout>
              <c:x val="2.7777024706753485E-3"/>
              <c:y val="-0.3379421108405869"/>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80433393735319"/>
                  <c:h val="0.18317764912960524"/>
                </c:manualLayout>
              </c15:layout>
            </c:ext>
          </c:extLst>
        </c:dLbl>
      </c:pivotFmt>
      <c:pivotFmt>
        <c:idx val="8"/>
        <c:spPr>
          <a:solidFill>
            <a:schemeClr val="accent1"/>
          </a:solidFill>
          <a:ln w="19050">
            <a:solidFill>
              <a:schemeClr val="lt1"/>
            </a:solidFill>
          </a:ln>
          <a:effectLst/>
        </c:spPr>
        <c:marker>
          <c:symbol val="none"/>
        </c:marke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19050">
            <a:solidFill>
              <a:schemeClr val="lt1"/>
            </a:solidFill>
          </a:ln>
          <a:effectLst/>
        </c:spPr>
        <c:dLbl>
          <c:idx val="0"/>
          <c:layout>
            <c:manualLayout>
              <c:x val="9.950703970792894E-3"/>
              <c:y val="-0.222295829107577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036859061251785"/>
                  <c:h val="0.58793954977627683"/>
                </c:manualLayout>
              </c15:layout>
            </c:ext>
          </c:extLst>
        </c:dLbl>
      </c:pivotFmt>
      <c:pivotFmt>
        <c:idx val="12"/>
        <c:spPr>
          <a:solidFill>
            <a:schemeClr val="accent1"/>
          </a:solidFill>
          <a:ln w="19050">
            <a:solidFill>
              <a:schemeClr val="lt1"/>
            </a:solidFill>
          </a:ln>
          <a:effectLst/>
        </c:spPr>
        <c:marker>
          <c:symbol val="none"/>
        </c:marker>
      </c:pivotFmt>
      <c:pivotFmt>
        <c:idx val="13"/>
        <c:spPr>
          <a:solidFill>
            <a:schemeClr val="accent1">
              <a:lumMod val="75000"/>
            </a:schemeClr>
          </a:solidFill>
          <a:ln w="19050">
            <a:solidFill>
              <a:schemeClr val="lt1"/>
            </a:solidFill>
          </a:ln>
          <a:effectLst/>
        </c:spPr>
      </c:pivotFmt>
    </c:pivotFmts>
    <c:plotArea>
      <c:layout>
        <c:manualLayout>
          <c:layoutTarget val="inner"/>
          <c:xMode val="edge"/>
          <c:yMode val="edge"/>
          <c:x val="0"/>
          <c:y val="4.6759343047165763E-3"/>
          <c:w val="0.99029442064740014"/>
          <c:h val="0.99532406569528342"/>
        </c:manualLayout>
      </c:layout>
      <c:doughnutChart>
        <c:varyColors val="1"/>
        <c:ser>
          <c:idx val="0"/>
          <c:order val="0"/>
          <c:tx>
            <c:strRef>
              <c:f>ANALYSIS!$C$45</c:f>
              <c:strCache>
                <c:ptCount val="1"/>
                <c:pt idx="0">
                  <c:v>ON-TIME DELIVERY %</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F7F6-4AAD-9D99-046FA2A80C63}"/>
              </c:ext>
            </c:extLst>
          </c:dPt>
          <c:dLbls>
            <c:dLbl>
              <c:idx val="0"/>
              <c:layout>
                <c:manualLayout>
                  <c:x val="9.950703970792894E-3"/>
                  <c:y val="-0.222295829107577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036859061251785"/>
                      <c:h val="0.58793954977627683"/>
                    </c:manualLayout>
                  </c15:layout>
                </c:ext>
                <c:ext xmlns:c16="http://schemas.microsoft.com/office/drawing/2014/chart" uri="{C3380CC4-5D6E-409C-BE32-E72D297353CC}">
                  <c16:uniqueId val="{00000001-F7F6-4AAD-9D99-046FA2A80C6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ANALYSIS!$C$46</c:f>
              <c:strCache>
                <c:ptCount val="1"/>
                <c:pt idx="0">
                  <c:v>Total</c:v>
                </c:pt>
              </c:strCache>
            </c:strRef>
          </c:cat>
          <c:val>
            <c:numRef>
              <c:f>ANALYSIS!$C$46</c:f>
              <c:numCache>
                <c:formatCode>0%;\-0%;0%</c:formatCode>
                <c:ptCount val="1"/>
                <c:pt idx="0">
                  <c:v>0.40400000000000003</c:v>
                </c:pt>
              </c:numCache>
            </c:numRef>
          </c:val>
          <c:extLst>
            <c:ext xmlns:c16="http://schemas.microsoft.com/office/drawing/2014/chart" uri="{C3380CC4-5D6E-409C-BE32-E72D297353CC}">
              <c16:uniqueId val="{00000002-F7F6-4AAD-9D99-046FA2A80C63}"/>
            </c:ext>
          </c:extLst>
        </c:ser>
        <c:ser>
          <c:idx val="1"/>
          <c:order val="1"/>
          <c:tx>
            <c:strRef>
              <c:f>ANALYSIS!$D$45</c:f>
              <c:strCache>
                <c:ptCount val="1"/>
                <c:pt idx="0">
                  <c:v>DELAYED %</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4-F7F6-4AAD-9D99-046FA2A80C63}"/>
              </c:ext>
            </c:extLst>
          </c:dPt>
          <c:dLbls>
            <c:delete val="1"/>
          </c:dLbls>
          <c:cat>
            <c:strRef>
              <c:f>ANALYSIS!$C$46</c:f>
              <c:strCache>
                <c:ptCount val="1"/>
                <c:pt idx="0">
                  <c:v>Total</c:v>
                </c:pt>
              </c:strCache>
            </c:strRef>
          </c:cat>
          <c:val>
            <c:numRef>
              <c:f>ANALYSIS!$D$46</c:f>
              <c:numCache>
                <c:formatCode>0%;\-0%;0%</c:formatCode>
                <c:ptCount val="1"/>
                <c:pt idx="0">
                  <c:v>0.59599999999999997</c:v>
                </c:pt>
              </c:numCache>
            </c:numRef>
          </c:val>
          <c:extLst>
            <c:ext xmlns:c16="http://schemas.microsoft.com/office/drawing/2014/chart" uri="{C3380CC4-5D6E-409C-BE32-E72D297353CC}">
              <c16:uniqueId val="{00000005-F7F6-4AAD-9D99-046FA2A80C63}"/>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FFFFFF"/>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rgbClr val="FFFFFF"/>
          </a:solidFill>
          <a:ln>
            <a:noFill/>
          </a:ln>
          <a:effectLst/>
        </c:spPr>
        <c:marker>
          <c:symbol val="none"/>
        </c:marker>
      </c:pivotFmt>
      <c:pivotFmt>
        <c:idx val="10"/>
        <c:spPr>
          <a:solidFill>
            <a:schemeClr val="accent1"/>
          </a:solidFill>
          <a:ln>
            <a:noFill/>
          </a:ln>
          <a:effectLst/>
        </c:spPr>
        <c:marker>
          <c:symbol val="none"/>
        </c:marker>
      </c:pivotFmt>
      <c:pivotFmt>
        <c:idx val="11"/>
        <c:spPr>
          <a:solidFill>
            <a:srgbClr val="FFFFFF"/>
          </a:solidFill>
          <a:ln>
            <a:noFill/>
          </a:ln>
          <a:effectLst/>
        </c:spPr>
        <c:marker>
          <c:symbol val="none"/>
        </c:marker>
      </c:pivotFmt>
    </c:pivotFmts>
    <c:plotArea>
      <c:layout/>
      <c:barChart>
        <c:barDir val="col"/>
        <c:grouping val="clustered"/>
        <c:varyColors val="0"/>
        <c:ser>
          <c:idx val="0"/>
          <c:order val="0"/>
          <c:tx>
            <c:strRef>
              <c:f>ANALYSIS!$F$8</c:f>
              <c:strCache>
                <c:ptCount val="1"/>
                <c:pt idx="0">
                  <c:v>Sum of Actual_Cost</c:v>
                </c:pt>
              </c:strCache>
            </c:strRef>
          </c:tx>
          <c:spPr>
            <a:solidFill>
              <a:schemeClr val="accent1"/>
            </a:solidFill>
            <a:ln>
              <a:noFill/>
            </a:ln>
            <a:effectLst/>
          </c:spPr>
          <c:invertIfNegative val="0"/>
          <c:cat>
            <c:strRef>
              <c:f>ANALYSIS!$E$9:$E$13</c:f>
              <c:strCache>
                <c:ptCount val="5"/>
                <c:pt idx="0">
                  <c:v>Abuja</c:v>
                </c:pt>
                <c:pt idx="1">
                  <c:v>Accra</c:v>
                </c:pt>
                <c:pt idx="2">
                  <c:v>Kumasi</c:v>
                </c:pt>
                <c:pt idx="3">
                  <c:v>Mombasa</c:v>
                </c:pt>
                <c:pt idx="4">
                  <c:v>Port Harcourt</c:v>
                </c:pt>
              </c:strCache>
            </c:strRef>
          </c:cat>
          <c:val>
            <c:numRef>
              <c:f>ANALYSIS!$F$9:$F$13</c:f>
              <c:numCache>
                <c:formatCode>[&gt;=100000]\₦0,,"M";[&gt;1000]\₦0,"K";0</c:formatCode>
                <c:ptCount val="5"/>
                <c:pt idx="0">
                  <c:v>1840534</c:v>
                </c:pt>
                <c:pt idx="1">
                  <c:v>3458416</c:v>
                </c:pt>
                <c:pt idx="2">
                  <c:v>2075213</c:v>
                </c:pt>
                <c:pt idx="3">
                  <c:v>1858978</c:v>
                </c:pt>
                <c:pt idx="4">
                  <c:v>1826711</c:v>
                </c:pt>
              </c:numCache>
            </c:numRef>
          </c:val>
          <c:extLst>
            <c:ext xmlns:c16="http://schemas.microsoft.com/office/drawing/2014/chart" uri="{C3380CC4-5D6E-409C-BE32-E72D297353CC}">
              <c16:uniqueId val="{00000000-A286-4DDE-94F2-8599EF751E70}"/>
            </c:ext>
          </c:extLst>
        </c:ser>
        <c:ser>
          <c:idx val="1"/>
          <c:order val="1"/>
          <c:tx>
            <c:strRef>
              <c:f>ANALYSIS!$G$8</c:f>
              <c:strCache>
                <c:ptCount val="1"/>
                <c:pt idx="0">
                  <c:v>Sum of Planned_Cost</c:v>
                </c:pt>
              </c:strCache>
            </c:strRef>
          </c:tx>
          <c:spPr>
            <a:solidFill>
              <a:srgbClr val="FFFFFF"/>
            </a:solidFill>
            <a:ln>
              <a:noFill/>
            </a:ln>
            <a:effectLst/>
          </c:spPr>
          <c:invertIfNegative val="0"/>
          <c:cat>
            <c:strRef>
              <c:f>ANALYSIS!$E$9:$E$13</c:f>
              <c:strCache>
                <c:ptCount val="5"/>
                <c:pt idx="0">
                  <c:v>Abuja</c:v>
                </c:pt>
                <c:pt idx="1">
                  <c:v>Accra</c:v>
                </c:pt>
                <c:pt idx="2">
                  <c:v>Kumasi</c:v>
                </c:pt>
                <c:pt idx="3">
                  <c:v>Mombasa</c:v>
                </c:pt>
                <c:pt idx="4">
                  <c:v>Port Harcourt</c:v>
                </c:pt>
              </c:strCache>
            </c:strRef>
          </c:cat>
          <c:val>
            <c:numRef>
              <c:f>ANALYSIS!$G$9:$G$13</c:f>
              <c:numCache>
                <c:formatCode>[&gt;=100000]\₦0,,"M";[&gt;1000]\₦0,"K";0</c:formatCode>
                <c:ptCount val="5"/>
                <c:pt idx="0">
                  <c:v>1715460</c:v>
                </c:pt>
                <c:pt idx="1">
                  <c:v>3290133</c:v>
                </c:pt>
                <c:pt idx="2">
                  <c:v>1977074</c:v>
                </c:pt>
                <c:pt idx="3">
                  <c:v>1800028</c:v>
                </c:pt>
                <c:pt idx="4">
                  <c:v>1730801</c:v>
                </c:pt>
              </c:numCache>
            </c:numRef>
          </c:val>
          <c:extLst>
            <c:ext xmlns:c16="http://schemas.microsoft.com/office/drawing/2014/chart" uri="{C3380CC4-5D6E-409C-BE32-E72D297353CC}">
              <c16:uniqueId val="{00000001-A286-4DDE-94F2-8599EF751E70}"/>
            </c:ext>
          </c:extLst>
        </c:ser>
        <c:dLbls>
          <c:showLegendKey val="0"/>
          <c:showVal val="0"/>
          <c:showCatName val="0"/>
          <c:showSerName val="0"/>
          <c:showPercent val="0"/>
          <c:showBubbleSize val="0"/>
        </c:dLbls>
        <c:gapWidth val="100"/>
        <c:axId val="330430208"/>
        <c:axId val="330428896"/>
      </c:barChart>
      <c:catAx>
        <c:axId val="330430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Trebuchet MS" panose="020B0603020202020204" pitchFamily="34" charset="0"/>
                <a:ea typeface="+mn-ea"/>
                <a:cs typeface="+mn-cs"/>
              </a:defRPr>
            </a:pPr>
            <a:endParaRPr lang="en-US"/>
          </a:p>
        </c:txPr>
        <c:crossAx val="330428896"/>
        <c:crosses val="autoZero"/>
        <c:auto val="1"/>
        <c:lblAlgn val="ctr"/>
        <c:lblOffset val="100"/>
        <c:noMultiLvlLbl val="0"/>
      </c:catAx>
      <c:valAx>
        <c:axId val="330428896"/>
        <c:scaling>
          <c:orientation val="minMax"/>
        </c:scaling>
        <c:delete val="0"/>
        <c:axPos val="l"/>
        <c:numFmt formatCode="[&gt;=1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330430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rebuchet MS" panose="020B0603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Trebuchet MS" panose="020B0603020202020204" pitchFamily="34" charset="0"/>
              </a:rPr>
              <a:t>Cost per</a:t>
            </a:r>
            <a:r>
              <a:rPr lang="en-US" sz="1800" b="1" baseline="0">
                <a:solidFill>
                  <a:schemeClr val="bg1"/>
                </a:solidFill>
                <a:latin typeface="Trebuchet MS" panose="020B0603020202020204" pitchFamily="34" charset="0"/>
              </a:rPr>
              <a:t> KM by Mode</a:t>
            </a:r>
            <a:endParaRPr lang="en-US" sz="1800" b="1">
              <a:solidFill>
                <a:schemeClr val="bg1"/>
              </a:solidFill>
              <a:latin typeface="Trebuchet MS" panose="020B0603020202020204" pitchFamily="34" charset="0"/>
            </a:endParaRPr>
          </a:p>
        </c:rich>
      </c:tx>
      <c:layout>
        <c:manualLayout>
          <c:xMode val="edge"/>
          <c:yMode val="edge"/>
          <c:x val="7.4207541703386809E-2"/>
          <c:y val="3.526170186994610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19050">
            <a:solidFill>
              <a:schemeClr val="lt1"/>
            </a:solidFill>
          </a:ln>
          <a:effectLst/>
        </c:spPr>
        <c:dLbl>
          <c:idx val="0"/>
          <c:layout>
            <c:manualLayout>
              <c:x val="0.17319588378692571"/>
              <c:y val="0.2732781894920822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lumMod val="60000"/>
              <a:lumOff val="40000"/>
            </a:schemeClr>
          </a:solidFill>
          <a:ln w="19050">
            <a:solidFill>
              <a:schemeClr val="lt1"/>
            </a:solidFill>
          </a:ln>
          <a:effectLst/>
        </c:spPr>
        <c:dLbl>
          <c:idx val="0"/>
          <c:layout>
            <c:manualLayout>
              <c:x val="-6.9278353514770297E-2"/>
              <c:y val="-0.3349861677644879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lumMod val="20000"/>
              <a:lumOff val="80000"/>
            </a:schemeClr>
          </a:solidFill>
          <a:ln w="19050">
            <a:solidFill>
              <a:schemeClr val="lt1"/>
            </a:solidFill>
          </a:ln>
          <a:effectLst/>
        </c:spPr>
        <c:dLbl>
          <c:idx val="0"/>
          <c:layout>
            <c:manualLayout>
              <c:x val="-1.7144914699309188E-2"/>
              <c:y val="-0.2909090404270552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dLbl>
          <c:idx val="0"/>
          <c:layout>
            <c:manualLayout>
              <c:x val="0.12058591830908955"/>
              <c:y val="0.2644627640245957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929480318888333"/>
          <c:y val="0.2345382122664216"/>
          <c:w val="0.58506584371848869"/>
          <c:h val="0.66271418620608025"/>
        </c:manualLayout>
      </c:layout>
      <c:doughnutChart>
        <c:varyColors val="1"/>
        <c:ser>
          <c:idx val="0"/>
          <c:order val="0"/>
          <c:tx>
            <c:strRef>
              <c:f>ANALYSIS!$B$49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4F-4FA9-ACD3-FE400449C410}"/>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824F-4FA9-ACD3-FE400449C410}"/>
              </c:ext>
            </c:extLst>
          </c:dPt>
          <c:dLbls>
            <c:dLbl>
              <c:idx val="0"/>
              <c:layout>
                <c:manualLayout>
                  <c:x val="0.12058591830908955"/>
                  <c:y val="0.2644627640245957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24F-4FA9-ACD3-FE400449C410}"/>
                </c:ext>
              </c:extLst>
            </c:dLbl>
            <c:dLbl>
              <c:idx val="1"/>
              <c:layout>
                <c:manualLayout>
                  <c:x val="-1.7144914699309188E-2"/>
                  <c:y val="-0.2909090404270552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24F-4FA9-ACD3-FE400449C41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ANALYSIS!$A$50:$A$51</c:f>
              <c:strCache>
                <c:ptCount val="2"/>
                <c:pt idx="0">
                  <c:v>Air</c:v>
                </c:pt>
                <c:pt idx="1">
                  <c:v>Road</c:v>
                </c:pt>
              </c:strCache>
            </c:strRef>
          </c:cat>
          <c:val>
            <c:numRef>
              <c:f>ANALYSIS!$B$50:$B$51</c:f>
              <c:numCache>
                <c:formatCode>0</c:formatCode>
                <c:ptCount val="2"/>
                <c:pt idx="0">
                  <c:v>599.78532701502729</c:v>
                </c:pt>
                <c:pt idx="1">
                  <c:v>588.93119310014379</c:v>
                </c:pt>
              </c:numCache>
            </c:numRef>
          </c:val>
          <c:extLst>
            <c:ext xmlns:c16="http://schemas.microsoft.com/office/drawing/2014/chart" uri="{C3380CC4-5D6E-409C-BE32-E72D297353CC}">
              <c16:uniqueId val="{00000004-824F-4FA9-ACD3-FE400449C410}"/>
            </c:ext>
          </c:extLst>
        </c:ser>
        <c:dLbls>
          <c:showLegendKey val="0"/>
          <c:showVal val="0"/>
          <c:showCatName val="0"/>
          <c:showSerName val="0"/>
          <c:showPercent val="0"/>
          <c:showBubbleSize val="0"/>
          <c:showLeaderLines val="1"/>
        </c:dLbls>
        <c:firstSliceAng val="7"/>
        <c:holeSize val="81"/>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rebuchet MS" panose="020B0603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Trebuchet MS" panose="020B0603020202020204" pitchFamily="34" charset="0"/>
                <a:ea typeface="+mn-ea"/>
                <a:cs typeface="+mn-cs"/>
              </a:defRPr>
            </a:pPr>
            <a:r>
              <a:rPr lang="en-US" sz="1800" b="1" i="0" baseline="0">
                <a:solidFill>
                  <a:sysClr val="windowText" lastClr="000000"/>
                </a:solidFill>
                <a:effectLst/>
                <a:latin typeface="Trebuchet MS" panose="020B0603020202020204" pitchFamily="34" charset="0"/>
              </a:rPr>
              <a:t>Delivery Status </a:t>
            </a:r>
            <a:endParaRPr lang="en-US" sz="1800">
              <a:solidFill>
                <a:sysClr val="windowText" lastClr="000000"/>
              </a:solidFill>
              <a:effectLst/>
              <a:latin typeface="Trebuchet MS" panose="020B0603020202020204" pitchFamily="34" charset="0"/>
            </a:endParaRPr>
          </a:p>
        </c:rich>
      </c:tx>
      <c:layout>
        <c:manualLayout>
          <c:xMode val="edge"/>
          <c:yMode val="edge"/>
          <c:x val="5.4183577005497308E-2"/>
          <c:y val="3.95939181247655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Trebuchet MS" panose="020B0603020202020204" pitchFamily="34" charset="0"/>
              <a:ea typeface="+mn-ea"/>
              <a:cs typeface="+mn-cs"/>
            </a:defRPr>
          </a:pPr>
          <a:endParaRPr lang="en-US"/>
        </a:p>
      </c:txPr>
    </c:title>
    <c:autoTitleDeleted val="0"/>
    <c:plotArea>
      <c:layout/>
      <c:barChart>
        <c:barDir val="bar"/>
        <c:grouping val="stacked"/>
        <c:varyColors val="0"/>
        <c:ser>
          <c:idx val="0"/>
          <c:order val="0"/>
          <c:tx>
            <c:strRef>
              <c:f>ANALYSIS!$A$34</c:f>
              <c:strCache>
                <c:ptCount val="1"/>
                <c:pt idx="0">
                  <c:v>Delayed</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ANALYSIS!$B$34</c:f>
              <c:numCache>
                <c:formatCode>0%</c:formatCode>
                <c:ptCount val="1"/>
                <c:pt idx="0">
                  <c:v>0.59599999999999997</c:v>
                </c:pt>
              </c:numCache>
            </c:numRef>
          </c:val>
          <c:extLst>
            <c:ext xmlns:c16="http://schemas.microsoft.com/office/drawing/2014/chart" uri="{C3380CC4-5D6E-409C-BE32-E72D297353CC}">
              <c16:uniqueId val="{00000000-A5A9-45A6-824A-9852BBDA11FC}"/>
            </c:ext>
          </c:extLst>
        </c:ser>
        <c:ser>
          <c:idx val="1"/>
          <c:order val="1"/>
          <c:tx>
            <c:strRef>
              <c:f>ANALYSIS!$A$35</c:f>
              <c:strCache>
                <c:ptCount val="1"/>
                <c:pt idx="0">
                  <c:v>On-Time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rebuchet MS" panose="020B06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ANALYSIS!$B$35</c:f>
              <c:numCache>
                <c:formatCode>0%</c:formatCode>
                <c:ptCount val="1"/>
                <c:pt idx="0">
                  <c:v>0.40400000000000003</c:v>
                </c:pt>
              </c:numCache>
            </c:numRef>
          </c:val>
          <c:extLst>
            <c:ext xmlns:c16="http://schemas.microsoft.com/office/drawing/2014/chart" uri="{C3380CC4-5D6E-409C-BE32-E72D297353CC}">
              <c16:uniqueId val="{00000001-A5A9-45A6-824A-9852BBDA11FC}"/>
            </c:ext>
          </c:extLst>
        </c:ser>
        <c:dLbls>
          <c:dLblPos val="ctr"/>
          <c:showLegendKey val="0"/>
          <c:showVal val="1"/>
          <c:showCatName val="0"/>
          <c:showSerName val="0"/>
          <c:showPercent val="0"/>
          <c:showBubbleSize val="0"/>
        </c:dLbls>
        <c:gapWidth val="150"/>
        <c:overlap val="100"/>
        <c:axId val="327632424"/>
        <c:axId val="327632752"/>
      </c:barChart>
      <c:catAx>
        <c:axId val="327632424"/>
        <c:scaling>
          <c:orientation val="minMax"/>
        </c:scaling>
        <c:delete val="1"/>
        <c:axPos val="l"/>
        <c:numFmt formatCode="General" sourceLinked="1"/>
        <c:majorTickMark val="none"/>
        <c:minorTickMark val="none"/>
        <c:tickLblPos val="nextTo"/>
        <c:crossAx val="327632752"/>
        <c:crosses val="autoZero"/>
        <c:auto val="1"/>
        <c:lblAlgn val="ctr"/>
        <c:lblOffset val="100"/>
        <c:noMultiLvlLbl val="0"/>
      </c:catAx>
      <c:valAx>
        <c:axId val="327632752"/>
        <c:scaling>
          <c:orientation val="minMax"/>
        </c:scaling>
        <c:delete val="1"/>
        <c:axPos val="b"/>
        <c:numFmt formatCode="0%" sourceLinked="1"/>
        <c:majorTickMark val="none"/>
        <c:minorTickMark val="none"/>
        <c:tickLblPos val="nextTo"/>
        <c:crossAx val="327632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Shipments!A1"/><Relationship Id="rId1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clipboard/media/image2.svg"/><Relationship Id="rId17" Type="http://schemas.openxmlformats.org/officeDocument/2006/relationships/image" Target="../../clipboard/media/image21.svg"/><Relationship Id="rId2" Type="http://schemas.openxmlformats.org/officeDocument/2006/relationships/chart" Target="../charts/chart3.xml"/><Relationship Id="rId16" Type="http://schemas.openxmlformats.org/officeDocument/2006/relationships/image" Target="../media/image4.png"/><Relationship Id="rId20" Type="http://schemas.openxmlformats.org/officeDocument/2006/relationships/chart" Target="../charts/chart11.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5" Type="http://schemas.openxmlformats.org/officeDocument/2006/relationships/image" Target="../../clipboard/media/image20.svg"/><Relationship Id="rId10" Type="http://schemas.openxmlformats.org/officeDocument/2006/relationships/image" Target="../media/image2.png"/><Relationship Id="rId19" Type="http://schemas.openxmlformats.org/officeDocument/2006/relationships/chart" Target="../charts/chart10.xml"/><Relationship Id="rId4" Type="http://schemas.openxmlformats.org/officeDocument/2006/relationships/chart" Target="../charts/chart5.xml"/><Relationship Id="rId9" Type="http://schemas.openxmlformats.org/officeDocument/2006/relationships/hyperlink" Target="#ANALYSIS!A1"/><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22412</xdr:colOff>
      <xdr:row>20</xdr:row>
      <xdr:rowOff>51547</xdr:rowOff>
    </xdr:from>
    <xdr:to>
      <xdr:col>19</xdr:col>
      <xdr:colOff>302559</xdr:colOff>
      <xdr:row>33</xdr:row>
      <xdr:rowOff>161365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480787</xdr:colOff>
      <xdr:row>2</xdr:row>
      <xdr:rowOff>173490</xdr:rowOff>
    </xdr:from>
    <xdr:to>
      <xdr:col>37</xdr:col>
      <xdr:colOff>163285</xdr:colOff>
      <xdr:row>48</xdr:row>
      <xdr:rowOff>113804</xdr:rowOff>
    </xdr:to>
    <xdr:grpSp>
      <xdr:nvGrpSpPr>
        <xdr:cNvPr id="14" name="Group 13"/>
        <xdr:cNvGrpSpPr/>
      </xdr:nvGrpSpPr>
      <xdr:grpSpPr>
        <a:xfrm>
          <a:off x="1096249" y="554490"/>
          <a:ext cx="21839113" cy="8703314"/>
          <a:chOff x="1487715" y="1479776"/>
          <a:chExt cx="21732873" cy="8703314"/>
        </a:xfrm>
      </xdr:grpSpPr>
      <xdr:grpSp>
        <xdr:nvGrpSpPr>
          <xdr:cNvPr id="51" name="Group 50"/>
          <xdr:cNvGrpSpPr/>
        </xdr:nvGrpSpPr>
        <xdr:grpSpPr>
          <a:xfrm>
            <a:off x="1487715" y="1479776"/>
            <a:ext cx="21732873" cy="8703314"/>
            <a:chOff x="2337127" y="417312"/>
            <a:chExt cx="22302505" cy="10301701"/>
          </a:xfrm>
        </xdr:grpSpPr>
        <xdr:grpSp>
          <xdr:nvGrpSpPr>
            <xdr:cNvPr id="16" name="Group 15"/>
            <xdr:cNvGrpSpPr/>
          </xdr:nvGrpSpPr>
          <xdr:grpSpPr>
            <a:xfrm>
              <a:off x="2337127" y="417312"/>
              <a:ext cx="22302505" cy="10301701"/>
              <a:chOff x="2292240" y="398262"/>
              <a:chExt cx="22303147" cy="10301701"/>
            </a:xfrm>
          </xdr:grpSpPr>
          <xdr:sp macro="" textlink="">
            <xdr:nvSpPr>
              <xdr:cNvPr id="5" name="Rounded Rectangle 4"/>
              <xdr:cNvSpPr/>
            </xdr:nvSpPr>
            <xdr:spPr>
              <a:xfrm>
                <a:off x="2292240" y="398262"/>
                <a:ext cx="22303147" cy="10301701"/>
              </a:xfrm>
              <a:prstGeom prst="roundRect">
                <a:avLst>
                  <a:gd name="adj" fmla="val 2710"/>
                </a:avLst>
              </a:prstGeom>
              <a:solidFill>
                <a:srgbClr val="F7F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6" name="Rounded Rectangle 5"/>
              <xdr:cNvSpPr/>
            </xdr:nvSpPr>
            <xdr:spPr>
              <a:xfrm>
                <a:off x="2427181" y="3920350"/>
                <a:ext cx="621027" cy="2790266"/>
              </a:xfrm>
              <a:prstGeom prst="roundRect">
                <a:avLst>
                  <a:gd name="adj" fmla="val 5000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7" name="Rounded Rectangle 6"/>
              <xdr:cNvSpPr/>
            </xdr:nvSpPr>
            <xdr:spPr>
              <a:xfrm>
                <a:off x="3107530" y="1607344"/>
                <a:ext cx="3071814" cy="1737360"/>
              </a:xfrm>
              <a:prstGeom prst="roundRect">
                <a:avLst>
                  <a:gd name="adj" fmla="val 271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8" name="Rounded Rectangle 7"/>
              <xdr:cNvSpPr/>
            </xdr:nvSpPr>
            <xdr:spPr>
              <a:xfrm>
                <a:off x="12725411" y="1593062"/>
                <a:ext cx="3068548" cy="1737360"/>
              </a:xfrm>
              <a:prstGeom prst="roundRect">
                <a:avLst>
                  <a:gd name="adj" fmla="val 271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9" name="Rounded Rectangle 8"/>
              <xdr:cNvSpPr/>
            </xdr:nvSpPr>
            <xdr:spPr>
              <a:xfrm>
                <a:off x="9520236" y="1602582"/>
                <a:ext cx="3071814" cy="1737360"/>
              </a:xfrm>
              <a:prstGeom prst="roundRect">
                <a:avLst>
                  <a:gd name="adj" fmla="val 271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10" name="Rounded Rectangle 9"/>
              <xdr:cNvSpPr/>
            </xdr:nvSpPr>
            <xdr:spPr>
              <a:xfrm>
                <a:off x="6291259" y="1612106"/>
                <a:ext cx="3071814" cy="1737360"/>
              </a:xfrm>
              <a:prstGeom prst="roundRect">
                <a:avLst>
                  <a:gd name="adj" fmla="val 271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11" name="Rounded Rectangle 10"/>
              <xdr:cNvSpPr/>
            </xdr:nvSpPr>
            <xdr:spPr>
              <a:xfrm>
                <a:off x="15972498" y="1328389"/>
                <a:ext cx="8413336" cy="4900293"/>
              </a:xfrm>
              <a:prstGeom prst="roundRect">
                <a:avLst>
                  <a:gd name="adj" fmla="val 271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sp macro="" textlink="">
            <xdr:nvSpPr>
              <xdr:cNvPr id="12" name="Rounded Rectangle 11"/>
              <xdr:cNvSpPr/>
            </xdr:nvSpPr>
            <xdr:spPr>
              <a:xfrm>
                <a:off x="8948876" y="3508068"/>
                <a:ext cx="6883979" cy="6904912"/>
              </a:xfrm>
              <a:prstGeom prst="roundRect">
                <a:avLst>
                  <a:gd name="adj" fmla="val 271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sp macro="" textlink="">
            <xdr:nvSpPr>
              <xdr:cNvPr id="13" name="Rounded Rectangle 12"/>
              <xdr:cNvSpPr/>
            </xdr:nvSpPr>
            <xdr:spPr>
              <a:xfrm>
                <a:off x="8943346" y="6989697"/>
                <a:ext cx="6889509" cy="3423283"/>
              </a:xfrm>
              <a:prstGeom prst="roundRect">
                <a:avLst>
                  <a:gd name="adj" fmla="val 271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15" name="Rounded Rectangle 14"/>
              <xdr:cNvSpPr/>
            </xdr:nvSpPr>
            <xdr:spPr>
              <a:xfrm>
                <a:off x="3124196" y="3484416"/>
                <a:ext cx="5614040" cy="6928564"/>
              </a:xfrm>
              <a:prstGeom prst="roundRect">
                <a:avLst>
                  <a:gd name="adj" fmla="val 271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grpSp>
        <xdr:sp macro="" textlink="">
          <xdr:nvSpPr>
            <xdr:cNvPr id="17" name="TextBox 16"/>
            <xdr:cNvSpPr txBox="1"/>
          </xdr:nvSpPr>
          <xdr:spPr>
            <a:xfrm>
              <a:off x="3274220" y="1702593"/>
              <a:ext cx="2259804" cy="3571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bg1"/>
                  </a:solidFill>
                  <a:latin typeface="Trebuchet MS" panose="020B0603020202020204" pitchFamily="34" charset="0"/>
                </a:rPr>
                <a:t>Total Freight Cost</a:t>
              </a:r>
            </a:p>
          </xdr:txBody>
        </xdr:sp>
        <xdr:sp macro="" textlink="">
          <xdr:nvSpPr>
            <xdr:cNvPr id="19" name="TextBox 18"/>
            <xdr:cNvSpPr txBox="1"/>
          </xdr:nvSpPr>
          <xdr:spPr>
            <a:xfrm>
              <a:off x="6498432" y="1713147"/>
              <a:ext cx="2259804" cy="35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latin typeface="Trebuchet MS" panose="020B0603020202020204" pitchFamily="34" charset="0"/>
                </a:rPr>
                <a:t>Freight Cost Variance</a:t>
              </a:r>
            </a:p>
          </xdr:txBody>
        </xdr:sp>
        <xdr:sp macro="" textlink="">
          <xdr:nvSpPr>
            <xdr:cNvPr id="20" name="TextBox 19"/>
            <xdr:cNvSpPr txBox="1"/>
          </xdr:nvSpPr>
          <xdr:spPr>
            <a:xfrm>
              <a:off x="9746457" y="1641384"/>
              <a:ext cx="2259804" cy="35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latin typeface="Trebuchet MS" panose="020B0603020202020204" pitchFamily="34" charset="0"/>
                </a:rPr>
                <a:t>Avg Cost per KM (₦)</a:t>
              </a:r>
            </a:p>
          </xdr:txBody>
        </xdr:sp>
        <xdr:sp macro="" textlink="">
          <xdr:nvSpPr>
            <xdr:cNvPr id="21" name="TextBox 20"/>
            <xdr:cNvSpPr txBox="1"/>
          </xdr:nvSpPr>
          <xdr:spPr>
            <a:xfrm>
              <a:off x="12934951" y="1691039"/>
              <a:ext cx="2259804" cy="35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latin typeface="Trebuchet MS" panose="020B0603020202020204" pitchFamily="34" charset="0"/>
                </a:rPr>
                <a:t>On-Time Delivery</a:t>
              </a:r>
            </a:p>
          </xdr:txBody>
        </xdr:sp>
        <xdr:sp macro="" textlink="">
          <xdr:nvSpPr>
            <xdr:cNvPr id="22" name="TextBox 21"/>
            <xdr:cNvSpPr txBox="1"/>
          </xdr:nvSpPr>
          <xdr:spPr>
            <a:xfrm>
              <a:off x="3322526" y="3643513"/>
              <a:ext cx="2978332" cy="392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a:solidFill>
                    <a:schemeClr val="tx1"/>
                  </a:solidFill>
                  <a:effectLst/>
                  <a:latin typeface="Trebuchet MS" panose="020B0603020202020204" pitchFamily="34" charset="0"/>
                  <a:ea typeface="+mn-ea"/>
                  <a:cs typeface="+mn-cs"/>
                </a:rPr>
                <a:t>Freight Cost per Carrier</a:t>
              </a:r>
              <a:r>
                <a:rPr lang="en-US" sz="1800">
                  <a:latin typeface="Trebuchet MS" panose="020B0603020202020204" pitchFamily="34" charset="0"/>
                </a:rPr>
                <a:t> </a:t>
              </a:r>
            </a:p>
          </xdr:txBody>
        </xdr:sp>
        <xdr:sp macro="" textlink="">
          <xdr:nvSpPr>
            <xdr:cNvPr id="23" name="TextBox 22"/>
            <xdr:cNvSpPr txBox="1"/>
          </xdr:nvSpPr>
          <xdr:spPr>
            <a:xfrm>
              <a:off x="16217220" y="1507895"/>
              <a:ext cx="4424679" cy="438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chemeClr val="bg1"/>
                  </a:solidFill>
                  <a:effectLst/>
                  <a:latin typeface="Trebuchet MS" panose="020B0603020202020204" pitchFamily="34" charset="0"/>
                  <a:ea typeface="+mn-ea"/>
                  <a:cs typeface="+mn-cs"/>
                </a:rPr>
                <a:t>Freight Cost Variance by  Top 5 Route</a:t>
              </a:r>
              <a:r>
                <a:rPr lang="en-US" sz="1600">
                  <a:solidFill>
                    <a:schemeClr val="bg1"/>
                  </a:solidFill>
                  <a:latin typeface="Trebuchet MS" panose="020B0603020202020204" pitchFamily="34" charset="0"/>
                </a:rPr>
                <a:t> </a:t>
              </a:r>
            </a:p>
          </xdr:txBody>
        </xdr:sp>
        <xdr:sp macro="" textlink="ANALYSIS!G36">
          <xdr:nvSpPr>
            <xdr:cNvPr id="2" name="TextBox 1"/>
            <xdr:cNvSpPr txBox="1"/>
          </xdr:nvSpPr>
          <xdr:spPr>
            <a:xfrm>
              <a:off x="3369468" y="2059781"/>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7B86905-17CB-4F9B-A292-CDF27749E140}" type="TxLink">
                <a:rPr lang="en-US" sz="3600" b="1" i="0" u="none" strike="noStrike">
                  <a:solidFill>
                    <a:schemeClr val="bg1"/>
                  </a:solidFill>
                  <a:latin typeface="Trebuchet MS"/>
                </a:rPr>
                <a:pPr/>
                <a:t>₦93M</a:t>
              </a:fld>
              <a:endParaRPr lang="en-US" sz="3600" b="1">
                <a:solidFill>
                  <a:schemeClr val="bg1"/>
                </a:solidFill>
              </a:endParaRPr>
            </a:p>
          </xdr:txBody>
        </xdr:sp>
        <xdr:sp macro="" textlink="ANALYSIS!G37">
          <xdr:nvSpPr>
            <xdr:cNvPr id="28" name="TextBox 27"/>
            <xdr:cNvSpPr txBox="1"/>
          </xdr:nvSpPr>
          <xdr:spPr>
            <a:xfrm>
              <a:off x="6593680" y="2105025"/>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8CCB01B-CCEC-4757-87E9-5E29591B82B6}" type="TxLink">
                <a:rPr lang="en-US" sz="3600" b="1" i="0" u="none" strike="noStrike">
                  <a:solidFill>
                    <a:schemeClr val="tx2">
                      <a:lumMod val="75000"/>
                    </a:schemeClr>
                  </a:solidFill>
                  <a:latin typeface="Trebuchet MS"/>
                  <a:ea typeface="+mn-ea"/>
                  <a:cs typeface="+mn-cs"/>
                </a:rPr>
                <a:pPr marL="0" indent="0"/>
                <a:t>₦4M</a:t>
              </a:fld>
              <a:endParaRPr lang="en-US" sz="3600" b="1" i="0" u="none" strike="noStrike">
                <a:solidFill>
                  <a:schemeClr val="tx2">
                    <a:lumMod val="75000"/>
                  </a:schemeClr>
                </a:solidFill>
                <a:latin typeface="Trebuchet MS"/>
                <a:ea typeface="+mn-ea"/>
                <a:cs typeface="+mn-cs"/>
              </a:endParaRPr>
            </a:p>
          </xdr:txBody>
        </xdr:sp>
        <xdr:sp macro="" textlink="ANALYSIS!G38">
          <xdr:nvSpPr>
            <xdr:cNvPr id="29" name="TextBox 28"/>
            <xdr:cNvSpPr txBox="1"/>
          </xdr:nvSpPr>
          <xdr:spPr>
            <a:xfrm>
              <a:off x="9829799" y="2066925"/>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482F62ED-2EBB-463F-9E92-477054F155E9}" type="TxLink">
                <a:rPr lang="en-US" sz="3600" b="1" i="0" u="none" strike="noStrike">
                  <a:solidFill>
                    <a:schemeClr val="tx2">
                      <a:lumMod val="75000"/>
                    </a:schemeClr>
                  </a:solidFill>
                  <a:latin typeface="Trebuchet MS"/>
                  <a:ea typeface="+mn-ea"/>
                  <a:cs typeface="+mn-cs"/>
                </a:rPr>
                <a:pPr marL="0" indent="0"/>
                <a:t>595</a:t>
              </a:fld>
              <a:endParaRPr lang="en-US" sz="3600" b="1" i="0" u="none" strike="noStrike">
                <a:solidFill>
                  <a:schemeClr val="tx2">
                    <a:lumMod val="75000"/>
                  </a:schemeClr>
                </a:solidFill>
                <a:latin typeface="Trebuchet MS"/>
                <a:ea typeface="+mn-ea"/>
                <a:cs typeface="+mn-cs"/>
              </a:endParaRPr>
            </a:p>
          </xdr:txBody>
        </xdr:sp>
        <xdr:sp macro="" textlink="ANALYSIS!G39">
          <xdr:nvSpPr>
            <xdr:cNvPr id="30" name="TextBox 29"/>
            <xdr:cNvSpPr txBox="1"/>
          </xdr:nvSpPr>
          <xdr:spPr>
            <a:xfrm>
              <a:off x="13018296" y="2052641"/>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CE627B8-F932-4FEF-B74B-294203169E0F}" type="TxLink">
                <a:rPr lang="en-US" sz="3600" b="1" i="0" u="none" strike="noStrike">
                  <a:solidFill>
                    <a:schemeClr val="tx2">
                      <a:lumMod val="75000"/>
                    </a:schemeClr>
                  </a:solidFill>
                  <a:latin typeface="Trebuchet MS"/>
                  <a:ea typeface="+mn-ea"/>
                  <a:cs typeface="+mn-cs"/>
                </a:rPr>
                <a:pPr marL="0" indent="0"/>
                <a:t>40%</a:t>
              </a:fld>
              <a:endParaRPr lang="en-US" sz="3600" b="1" i="0" u="none" strike="noStrike">
                <a:solidFill>
                  <a:schemeClr val="tx2">
                    <a:lumMod val="75000"/>
                  </a:schemeClr>
                </a:solidFill>
                <a:latin typeface="Trebuchet MS"/>
                <a:ea typeface="+mn-ea"/>
                <a:cs typeface="+mn-cs"/>
              </a:endParaRPr>
            </a:p>
          </xdr:txBody>
        </xdr:sp>
        <xdr:graphicFrame macro="">
          <xdr:nvGraphicFramePr>
            <xdr:cNvPr id="31" name="Chart 30"/>
            <xdr:cNvGraphicFramePr>
              <a:graphicFrameLocks/>
            </xdr:cNvGraphicFramePr>
          </xdr:nvGraphicFramePr>
          <xdr:xfrm>
            <a:off x="3250406" y="2816678"/>
            <a:ext cx="2833688" cy="39120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2" name="Chart 31"/>
            <xdr:cNvGraphicFramePr>
              <a:graphicFrameLocks/>
            </xdr:cNvGraphicFramePr>
          </xdr:nvGraphicFramePr>
          <xdr:xfrm>
            <a:off x="6465094" y="2762250"/>
            <a:ext cx="2833687" cy="4762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xdr:cNvGraphicFramePr>
              <a:graphicFrameLocks/>
            </xdr:cNvGraphicFramePr>
          </xdr:nvGraphicFramePr>
          <xdr:xfrm>
            <a:off x="9543710" y="2721429"/>
            <a:ext cx="2927236" cy="5796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xdr:cNvGraphicFramePr>
              <a:graphicFrameLocks/>
            </xdr:cNvGraphicFramePr>
          </xdr:nvGraphicFramePr>
          <xdr:xfrm>
            <a:off x="3142449" y="3959678"/>
            <a:ext cx="5592144" cy="304906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8" name="Chart 37"/>
            <xdr:cNvGraphicFramePr>
              <a:graphicFrameLocks/>
            </xdr:cNvGraphicFramePr>
          </xdr:nvGraphicFramePr>
          <xdr:xfrm>
            <a:off x="8983220" y="7008747"/>
            <a:ext cx="3431113" cy="3382286"/>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50" name="Group 49"/>
            <xdr:cNvGrpSpPr/>
          </xdr:nvGrpSpPr>
          <xdr:grpSpPr>
            <a:xfrm>
              <a:off x="9007990" y="3624835"/>
              <a:ext cx="6855398" cy="3342915"/>
              <a:chOff x="8979216" y="3669659"/>
              <a:chExt cx="6829660" cy="3342915"/>
            </a:xfrm>
          </xdr:grpSpPr>
          <xdr:sp macro="" textlink="">
            <xdr:nvSpPr>
              <xdr:cNvPr id="25" name="TextBox 24"/>
              <xdr:cNvSpPr txBox="1"/>
            </xdr:nvSpPr>
            <xdr:spPr>
              <a:xfrm>
                <a:off x="9124177" y="3669659"/>
                <a:ext cx="3667669" cy="575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800" b="1" i="0" u="none" strike="noStrike">
                    <a:solidFill>
                      <a:schemeClr val="tx1"/>
                    </a:solidFill>
                    <a:effectLst/>
                    <a:latin typeface="Trebuchet MS" panose="020B0603020202020204" pitchFamily="34" charset="0"/>
                    <a:ea typeface="+mn-ea"/>
                    <a:cs typeface="+mn-cs"/>
                  </a:rPr>
                  <a:t>Freight Cost by Top 5 Origin </a:t>
                </a:r>
              </a:p>
            </xdr:txBody>
          </xdr:sp>
          <xdr:graphicFrame macro="">
            <xdr:nvGraphicFramePr>
              <xdr:cNvPr id="42" name="Chart 41"/>
              <xdr:cNvGraphicFramePr>
                <a:graphicFrameLocks/>
              </xdr:cNvGraphicFramePr>
            </xdr:nvGraphicFramePr>
            <xdr:xfrm>
              <a:off x="8979216" y="4154467"/>
              <a:ext cx="6829660" cy="2858107"/>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3" name="TextBox 2"/>
            <xdr:cNvSpPr txBox="1"/>
          </xdr:nvSpPr>
          <xdr:spPr>
            <a:xfrm>
              <a:off x="3169443" y="575770"/>
              <a:ext cx="11227196" cy="1034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Trebuchet MS" panose="020B0603020202020204" pitchFamily="34" charset="0"/>
                </a:rPr>
                <a:t>Freight Cost</a:t>
              </a:r>
              <a:r>
                <a:rPr lang="en-US" sz="2400" b="1" baseline="0">
                  <a:latin typeface="Trebuchet MS" panose="020B0603020202020204" pitchFamily="34" charset="0"/>
                </a:rPr>
                <a:t> Optimization Analysis</a:t>
              </a:r>
            </a:p>
            <a:p>
              <a:r>
                <a:rPr lang="en-US" sz="1600" b="0" i="1" baseline="0">
                  <a:latin typeface="Trebuchet MS" panose="020B0603020202020204" pitchFamily="34" charset="0"/>
                </a:rPr>
                <a:t>Identifying cost drivers and delivery performance gaps across routes, carriers, and transport modes.</a:t>
              </a:r>
              <a:endParaRPr lang="en-US" sz="1600" b="0" i="1">
                <a:latin typeface="Trebuchet MS" panose="020B0603020202020204" pitchFamily="34" charset="0"/>
              </a:endParaRPr>
            </a:p>
          </xdr:txBody>
        </xdr:sp>
        <mc:AlternateContent xmlns:mc="http://schemas.openxmlformats.org/markup-compatibility/2006">
          <mc:Choice xmlns:a14="http://schemas.microsoft.com/office/drawing/2010/main" Requires="a14">
            <xdr:graphicFrame macro="">
              <xdr:nvGraphicFramePr>
                <xdr:cNvPr id="43" name="Carrier"/>
                <xdr:cNvGraphicFramePr/>
              </xdr:nvGraphicFramePr>
              <xdr:xfrm>
                <a:off x="19579400" y="1985687"/>
                <a:ext cx="4821229" cy="432933"/>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17980269" y="1879520"/>
                  <a:ext cx="4721056"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Destination"/>
                <xdr:cNvGraphicFramePr>
                  <a:graphicFrameLocks/>
                </xdr:cNvGraphicFramePr>
              </xdr:nvGraphicFramePr>
              <xdr:xfrm>
                <a:off x="15081417" y="655552"/>
                <a:ext cx="9269855" cy="649399"/>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13374586" y="755765"/>
                  <a:ext cx="8937716"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41" name="Chart 40"/>
            <xdr:cNvGraphicFramePr>
              <a:graphicFrameLocks/>
            </xdr:cNvGraphicFramePr>
          </xdr:nvGraphicFramePr>
          <xdr:xfrm>
            <a:off x="14918649" y="2289651"/>
            <a:ext cx="883843" cy="998579"/>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4" name="Picture 3"/>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67872" y="543243"/>
              <a:ext cx="813568" cy="828354"/>
            </a:xfrm>
            <a:prstGeom prst="rect">
              <a:avLst/>
            </a:prstGeom>
          </xdr:spPr>
        </xdr:pic>
        <xdr:pic>
          <xdr:nvPicPr>
            <xdr:cNvPr id="44" name="Graphic 8" descr="Bar chart with solid fill">
              <a:hlinkClick xmlns:r="http://schemas.openxmlformats.org/officeDocument/2006/relationships" r:id="rId9"/>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 xmlns:lc="http://schemas.openxmlformats.org/drawingml/2006/lockedCanvas" xmlns:asvg="http://schemas.microsoft.com/office/drawing/2016/SVG/main" r:embed="rId12"/>
                </a:ext>
              </a:extLst>
            </a:blip>
            <a:stretch>
              <a:fillRect/>
            </a:stretch>
          </xdr:blipFill>
          <xdr:spPr>
            <a:xfrm>
              <a:off x="2518522" y="5107504"/>
              <a:ext cx="494924" cy="521142"/>
            </a:xfrm>
            <a:prstGeom prst="rect">
              <a:avLst/>
            </a:prstGeom>
          </xdr:spPr>
        </xdr:pic>
        <xdr:pic>
          <xdr:nvPicPr>
            <xdr:cNvPr id="45" name="Graphic 10" descr="Presentation with bar chart with solid fill">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 xmlns:lc="http://schemas.openxmlformats.org/drawingml/2006/lockedCanvas" xmlns:asvg="http://schemas.microsoft.com/office/drawing/2016/SVG/main" r:embed="rId15"/>
                </a:ext>
              </a:extLst>
            </a:blip>
            <a:stretch>
              <a:fillRect/>
            </a:stretch>
          </xdr:blipFill>
          <xdr:spPr>
            <a:xfrm>
              <a:off x="2496737" y="4114181"/>
              <a:ext cx="546078" cy="681957"/>
            </a:xfrm>
            <a:prstGeom prst="rect">
              <a:avLst/>
            </a:prstGeom>
          </xdr:spPr>
        </xdr:pic>
        <xdr:pic>
          <xdr:nvPicPr>
            <xdr:cNvPr id="46" name="Graphic 8" descr="Line arrow: Straight with solid fill"/>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 xmlns:lc="http://schemas.openxmlformats.org/drawingml/2006/lockedCanvas" xmlns:asvg="http://schemas.microsoft.com/office/drawing/2016/SVG/main" r:embed="rId17"/>
                </a:ext>
              </a:extLst>
            </a:blip>
            <a:stretch>
              <a:fillRect/>
            </a:stretch>
          </xdr:blipFill>
          <xdr:spPr>
            <a:xfrm>
              <a:off x="2552140" y="5896717"/>
              <a:ext cx="432338" cy="658801"/>
            </a:xfrm>
            <a:prstGeom prst="rect">
              <a:avLst/>
            </a:prstGeom>
          </xdr:spPr>
        </xdr:pic>
      </xdr:grpSp>
      <xdr:graphicFrame macro="">
        <xdr:nvGraphicFramePr>
          <xdr:cNvPr id="48" name="Chart 47"/>
          <xdr:cNvGraphicFramePr>
            <a:graphicFrameLocks/>
          </xdr:cNvGraphicFramePr>
        </xdr:nvGraphicFramePr>
        <xdr:xfrm>
          <a:off x="14838589" y="2888901"/>
          <a:ext cx="8126865" cy="346903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53" name="Rounded Rectangle 52"/>
          <xdr:cNvSpPr/>
        </xdr:nvSpPr>
        <xdr:spPr>
          <a:xfrm>
            <a:off x="14862402" y="6531422"/>
            <a:ext cx="8106456" cy="3374572"/>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cxnSp macro="">
        <xdr:nvCxnSpPr>
          <xdr:cNvPr id="36" name="Straight Connector 35"/>
          <xdr:cNvCxnSpPr/>
        </xdr:nvCxnSpPr>
        <xdr:spPr>
          <a:xfrm>
            <a:off x="2968832" y="7031182"/>
            <a:ext cx="4043795" cy="1"/>
          </a:xfrm>
          <a:prstGeom prst="line">
            <a:avLst/>
          </a:prstGeom>
          <a:ln>
            <a:solidFill>
              <a:schemeClr val="accent1">
                <a:shade val="95000"/>
                <a:satMod val="105000"/>
                <a:alpha val="72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xdr:cNvCxnSpPr/>
        </xdr:nvCxnSpPr>
        <xdr:spPr>
          <a:xfrm>
            <a:off x="9043391" y="7038916"/>
            <a:ext cx="4043795" cy="1"/>
          </a:xfrm>
          <a:prstGeom prst="line">
            <a:avLst/>
          </a:prstGeom>
          <a:ln>
            <a:solidFill>
              <a:schemeClr val="accent1">
                <a:shade val="95000"/>
                <a:satMod val="105000"/>
                <a:alpha val="72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xdr:cNvCxnSpPr/>
        </xdr:nvCxnSpPr>
        <xdr:spPr>
          <a:xfrm rot="5400000">
            <a:off x="10236854" y="8542242"/>
            <a:ext cx="2194560" cy="0"/>
          </a:xfrm>
          <a:prstGeom prst="line">
            <a:avLst/>
          </a:prstGeom>
          <a:ln w="19050">
            <a:solidFill>
              <a:schemeClr val="bg1">
                <a:alpha val="32000"/>
              </a:schemeClr>
            </a:solidFill>
            <a:prstDash val="sysDash"/>
          </a:ln>
        </xdr:spPr>
        <xdr:style>
          <a:lnRef idx="1">
            <a:schemeClr val="accent1"/>
          </a:lnRef>
          <a:fillRef idx="0">
            <a:schemeClr val="accent1"/>
          </a:fillRef>
          <a:effectRef idx="0">
            <a:schemeClr val="accent1"/>
          </a:effectRef>
          <a:fontRef idx="minor">
            <a:schemeClr val="tx1"/>
          </a:fontRef>
        </xdr:style>
      </xdr:cxnSp>
      <xdr:graphicFrame macro="">
        <xdr:nvGraphicFramePr>
          <xdr:cNvPr id="61" name="Chart 60"/>
          <xdr:cNvGraphicFramePr>
            <a:graphicFrameLocks/>
          </xdr:cNvGraphicFramePr>
        </xdr:nvGraphicFramePr>
        <xdr:xfrm>
          <a:off x="11355161" y="7024687"/>
          <a:ext cx="3299732" cy="2881313"/>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62" name="TextBox 61"/>
          <xdr:cNvSpPr txBox="1"/>
        </xdr:nvSpPr>
        <xdr:spPr>
          <a:xfrm>
            <a:off x="14872606" y="6517821"/>
            <a:ext cx="8082643" cy="337457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600" b="1">
                <a:latin typeface="Trebuchet MS" panose="020B0603020202020204" pitchFamily="34" charset="0"/>
              </a:rPr>
              <a:t>INSIGHTS:</a:t>
            </a:r>
          </a:p>
          <a:p>
            <a:pPr marL="171450" indent="-171450">
              <a:buFont typeface="Arial" panose="020B0604020202020204" pitchFamily="34" charset="0"/>
              <a:buChar char="•"/>
            </a:pPr>
            <a:r>
              <a:rPr lang="en-US" sz="1400">
                <a:latin typeface="Trebuchet MS" panose="020B0603020202020204" pitchFamily="34" charset="0"/>
              </a:rPr>
              <a:t>₦93M total freight cost with ₦4M (4.3%) budget overrun</a:t>
            </a:r>
          </a:p>
          <a:p>
            <a:pPr marL="171450" indent="-171450">
              <a:buFont typeface="Arial" panose="020B0604020202020204" pitchFamily="34" charset="0"/>
              <a:buChar char="•"/>
            </a:pPr>
            <a:r>
              <a:rPr lang="en-US" sz="1400">
                <a:latin typeface="Trebuchet MS" panose="020B0603020202020204" pitchFamily="34" charset="0"/>
              </a:rPr>
              <a:t>4 routes</a:t>
            </a:r>
            <a:r>
              <a:rPr lang="en-US" sz="1400" baseline="0">
                <a:latin typeface="Trebuchet MS" panose="020B0603020202020204" pitchFamily="34" charset="0"/>
              </a:rPr>
              <a:t> accounts for over half of total freight spend</a:t>
            </a:r>
          </a:p>
          <a:p>
            <a:pPr marL="171450" indent="-171450">
              <a:buFont typeface="Arial" panose="020B0604020202020204" pitchFamily="34" charset="0"/>
              <a:buChar char="•"/>
            </a:pPr>
            <a:r>
              <a:rPr lang="en-US" sz="1400" baseline="0">
                <a:latin typeface="Trebuchet MS" panose="020B0603020202020204" pitchFamily="34" charset="0"/>
              </a:rPr>
              <a:t>Air Transport accounts for total higher freight cost and incurs a higher cost per Kilometer, indicating significant cost pressure from premium transport usage</a:t>
            </a:r>
          </a:p>
          <a:p>
            <a:pPr marL="171450" indent="-171450">
              <a:buFont typeface="Arial" panose="020B0604020202020204" pitchFamily="34" charset="0"/>
              <a:buChar char="•"/>
            </a:pPr>
            <a:r>
              <a:rPr lang="en-US" sz="1400" baseline="0">
                <a:latin typeface="Trebuchet MS" panose="020B0603020202020204" pitchFamily="34" charset="0"/>
              </a:rPr>
              <a:t>On-Time Delivery at 40% is critically low indicating significant delivery inefficiences</a:t>
            </a:r>
          </a:p>
          <a:p>
            <a:pPr marL="0" indent="0">
              <a:buFontTx/>
              <a:buNone/>
            </a:pPr>
            <a:endParaRPr lang="en-US" sz="1400" baseline="0">
              <a:latin typeface="Trebuchet MS" panose="020B0603020202020204" pitchFamily="34" charset="0"/>
            </a:endParaRPr>
          </a:p>
          <a:p>
            <a:pPr marL="0" indent="0">
              <a:buFontTx/>
              <a:buNone/>
            </a:pPr>
            <a:r>
              <a:rPr lang="en-US" sz="1600" b="1">
                <a:solidFill>
                  <a:schemeClr val="dk1"/>
                </a:solidFill>
                <a:latin typeface="Trebuchet MS" panose="020B0603020202020204" pitchFamily="34" charset="0"/>
                <a:ea typeface="+mn-ea"/>
                <a:cs typeface="+mn-cs"/>
              </a:rPr>
              <a:t>RECOMMENDATIONS</a:t>
            </a:r>
            <a:r>
              <a:rPr lang="en-US" sz="1400" baseline="0">
                <a:latin typeface="Trebuchet MS" panose="020B0603020202020204" pitchFamily="34" charset="0"/>
              </a:rPr>
              <a:t>:</a:t>
            </a:r>
          </a:p>
          <a:p>
            <a:pPr marL="171450" indent="-171450">
              <a:buFont typeface="Arial" panose="020B0604020202020204" pitchFamily="34" charset="0"/>
              <a:buChar char="•"/>
            </a:pPr>
            <a:r>
              <a:rPr lang="en-US" sz="1400" baseline="0">
                <a:latin typeface="Trebuchet MS" panose="020B0603020202020204" pitchFamily="34" charset="0"/>
              </a:rPr>
              <a:t>Optimize high-cost routes through contract renegotiations</a:t>
            </a:r>
          </a:p>
          <a:p>
            <a:pPr marL="171450" indent="-171450">
              <a:buFont typeface="Arial" panose="020B0604020202020204" pitchFamily="34" charset="0"/>
              <a:buChar char="•"/>
            </a:pPr>
            <a:r>
              <a:rPr lang="en-US" sz="1400" baseline="0">
                <a:latin typeface="Trebuchet MS" panose="020B0603020202020204" pitchFamily="34" charset="0"/>
              </a:rPr>
              <a:t>Shift suitable shipments away from high-cost Air transport to Road transport to reduce overall freight spend and cost per kilometer without compromising service levels</a:t>
            </a:r>
          </a:p>
          <a:p>
            <a:pPr marL="171450" indent="-171450">
              <a:buFont typeface="Arial" panose="020B0604020202020204" pitchFamily="34" charset="0"/>
              <a:buChar char="•"/>
            </a:pPr>
            <a:r>
              <a:rPr lang="en-US" sz="1400" baseline="0">
                <a:latin typeface="Trebuchet MS" panose="020B0603020202020204" pitchFamily="34" charset="0"/>
              </a:rPr>
              <a:t>Consolidate shipments in low-volume regions to improve cost efficiency</a:t>
            </a:r>
          </a:p>
          <a:p>
            <a:pPr marL="171450" indent="-171450">
              <a:buFont typeface="Arial" panose="020B0604020202020204" pitchFamily="34" charset="0"/>
              <a:buChar char="•"/>
            </a:pPr>
            <a:r>
              <a:rPr lang="en-US" sz="1400" baseline="0">
                <a:latin typeface="Trebuchet MS" panose="020B0603020202020204" pitchFamily="34" charset="0"/>
              </a:rPr>
              <a:t>Introduce carrier performance trackin focused on cost per KM and On-Time Delivery compliance.</a:t>
            </a:r>
          </a:p>
        </xdr:txBody>
      </xdr:sp>
    </xdr:grpSp>
    <xdr:clientData/>
  </xdr:twoCellAnchor>
  <xdr:twoCellAnchor>
    <xdr:from>
      <xdr:col>3</xdr:col>
      <xdr:colOff>58615</xdr:colOff>
      <xdr:row>32</xdr:row>
      <xdr:rowOff>29307</xdr:rowOff>
    </xdr:from>
    <xdr:to>
      <xdr:col>11</xdr:col>
      <xdr:colOff>605935</xdr:colOff>
      <xdr:row>47</xdr:row>
      <xdr:rowOff>58614</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Pc" refreshedDate="46010.850092824076" createdVersion="6" refreshedVersion="6" minRefreshableVersion="3" recordCount="250">
  <cacheSource type="worksheet">
    <worksheetSource name="Table1"/>
  </cacheSource>
  <cacheFields count="12">
    <cacheField name="Shipment_ID" numFmtId="0">
      <sharedItems/>
    </cacheField>
    <cacheField name="Date" numFmtId="164">
      <sharedItems containsSemiMixedTypes="0" containsNonDate="0" containsDate="1" containsString="0" minDate="2025-01-01T00:00:00" maxDate="2025-04-02T00:00:00"/>
    </cacheField>
    <cacheField name="Origin" numFmtId="0">
      <sharedItems/>
    </cacheField>
    <cacheField name="Destination" numFmtId="0">
      <sharedItems/>
    </cacheField>
    <cacheField name="Distance_KM" numFmtId="0">
      <sharedItems containsSemiMixedTypes="0" containsString="0" containsNumber="1" containsInteger="1" minValue="132" maxValue="1186"/>
    </cacheField>
    <cacheField name="Carrier" numFmtId="0">
      <sharedItems count="6">
        <s v="FedEx"/>
        <s v="Aramex"/>
        <s v="TransLink"/>
        <s v="GIG Logistics"/>
        <s v="DHL"/>
        <s v="UPS"/>
      </sharedItems>
    </cacheField>
    <cacheField name="Mode" numFmtId="0">
      <sharedItems count="2">
        <s v="Air"/>
        <s v="Road"/>
      </sharedItems>
    </cacheField>
    <cacheField name="Planned_Cost" numFmtId="165">
      <sharedItems containsSemiMixedTypes="0" containsString="0" containsNumber="1" containsInteger="1" minValue="101402" maxValue="599957"/>
    </cacheField>
    <cacheField name="Actual_Cost" numFmtId="165">
      <sharedItems containsSemiMixedTypes="0" containsString="0" containsNumber="1" containsInteger="1" minValue="98542" maxValue="660358"/>
    </cacheField>
    <cacheField name="Delivery_Status" numFmtId="0">
      <sharedItems count="2">
        <s v="On-Time"/>
        <s v="Delayed"/>
      </sharedItems>
    </cacheField>
    <cacheField name="Delivery_Days" numFmtId="1">
      <sharedItems containsSemiMixedTypes="0" containsString="0" containsNumber="1" containsInteger="1" minValue="1" maxValue="7"/>
    </cacheField>
    <cacheField name="Cost per KM" numFmtId="0" formula="Actual_Cost /Distance_KM"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Hp Pc" refreshedDate="46012.945817476852"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Table1].[Mode].[Mode]" caption="Mode" numFmtId="0" hierarchy="12" level="1">
      <sharedItems count="2">
        <s v="Air"/>
        <s v="Road"/>
      </sharedItems>
    </cacheField>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2" memberValueDatatype="130" unbalanced="0">
      <fieldsUsage count="2">
        <fieldUsage x="-1"/>
        <fieldUsage x="1"/>
      </fieldsUsage>
    </cacheHierarchy>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Pc" refreshedDate="46012.945826157411"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Measures].[FREIGHT COST VARIANCE]" caption="FREIGHT COST VARIANCE" numFmtId="0" hierarchy="18" level="32767"/>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Pc" refreshedDate="46012.945815624997" backgroundQuery="1" createdVersion="6" refreshedVersion="6" minRefreshableVersion="3" recordCount="0" supportSubquery="1" supportAdvancedDrill="1">
  <cacheSource type="external" connectionId="2"/>
  <cacheFields count="3">
    <cacheField name="[Measures].[ON-TIME DELIVERY %]" caption="ON-TIME DELIVERY %" numFmtId="0" hierarchy="22" level="32767"/>
    <cacheField name="[Measures].[DELAYED %]" caption="DELAYED %" numFmtId="0" hierarchy="23" level="32767"/>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oneField="1">
      <fieldsUsage count="1">
        <fieldUsage x="0"/>
      </fieldsUsage>
    </cacheHierarchy>
    <cacheHierarchy uniqueName="[Measures].[DELAYED %]" caption="DELAYED %" measure="1" displayFolder="" measureGroup="Table1" count="0" oneField="1">
      <fieldsUsage count="1">
        <fieldUsage x="1"/>
      </fieldsUsage>
    </cacheHierarchy>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Pc" refreshedDate="46012.945824189817"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Measures].[FREIGHT COST VARIANCE]" caption="FREIGHT COST VARIANCE" numFmtId="0" hierarchy="18" level="32767"/>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Pc" refreshedDate="46012.945829976852" backgroundQuery="1" createdVersion="6" refreshedVersion="6" minRefreshableVersion="3" recordCount="0" supportSubquery="1" supportAdvancedDrill="1">
  <cacheSource type="external" connectionId="2"/>
  <cacheFields count="8">
    <cacheField name="[Measures].[TOTAL FREIGHT COST]" caption="TOTAL FREIGHT COST" numFmtId="0" hierarchy="17" level="32767"/>
    <cacheField name="[Measures].[FREIGHT COST VARIANCE]" caption="FREIGHT COST VARIANCE" numFmtId="0" hierarchy="18" level="32767"/>
    <cacheField name="[Measures].[AVERAGE COST PER KM]" caption="AVERAGE COST PER KM" numFmtId="0" hierarchy="19" level="32767"/>
    <cacheField name="[Measures].[TOTAL SHIPMENTS]" caption="TOTAL SHIPMENTS" numFmtId="0" hierarchy="20" level="32767"/>
    <cacheField name="[Measures].[DELAYED COUNT]" caption="DELAYED COUNT" numFmtId="0" hierarchy="21" level="32767"/>
    <cacheField name="[Measures].[ON-TIME DELIVERY %]" caption="ON-TIME DELIVERY %" numFmtId="0" hierarchy="22" level="32767"/>
    <cacheField name="[Measures].[DELAYED %]" caption="DELAYED %" numFmtId="0" hierarchy="23" level="32767"/>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7"/>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ERAGE COST PER KM]" caption="AVERAGE COST PER KM" measure="1" displayFolder="" measureGroup="Table1" count="0" oneField="1">
      <fieldsUsage count="1">
        <fieldUsage x="2"/>
      </fieldsUsage>
    </cacheHierarchy>
    <cacheHierarchy uniqueName="[Measures].[TOTAL SHIPMENTS]" caption="TOTAL SHIPMENTS" measure="1" displayFolder="" measureGroup="Table1" count="0" oneField="1">
      <fieldsUsage count="1">
        <fieldUsage x="3"/>
      </fieldsUsage>
    </cacheHierarchy>
    <cacheHierarchy uniqueName="[Measures].[DELAYED COUNT]" caption="DELAYED COUNT" measure="1" displayFolder="" measureGroup="Table1" count="0" oneField="1">
      <fieldsUsage count="1">
        <fieldUsage x="4"/>
      </fieldsUsage>
    </cacheHierarchy>
    <cacheHierarchy uniqueName="[Measures].[ON-TIME DELIVERY %]" caption="ON-TIME DELIVERY %" measure="1" displayFolder="" measureGroup="Table1" count="0" oneField="1">
      <fieldsUsage count="1">
        <fieldUsage x="5"/>
      </fieldsUsage>
    </cacheHierarchy>
    <cacheHierarchy uniqueName="[Measures].[DELAYED %]" caption="DELAYED %" measure="1" displayFolder="" measureGroup="Table1" count="0" oneField="1">
      <fieldsUsage count="1">
        <fieldUsage x="6"/>
      </fieldsUsage>
    </cacheHierarchy>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Pc" refreshedDate="46012.945819907407"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Table1].[Origin].[Origin]" caption="Origin" numFmtId="0" hierarchy="8" level="1">
      <sharedItems count="6">
        <s v="Abuja"/>
        <s v="Accra"/>
        <s v="Lagos"/>
        <s v="Nairobi"/>
        <s v="Takoradi"/>
        <s v="Mombasa" u="1"/>
      </sharedItems>
    </cacheField>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1"/>
      </fieldsUsage>
    </cacheHierarchy>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Pc" refreshedDate="46012.945828009259" backgroundQuery="1" createdVersion="6" refreshedVersion="6" minRefreshableVersion="3" recordCount="0" supportSubquery="1" supportAdvancedDrill="1">
  <cacheSource type="external" connectionId="2"/>
  <cacheFields count="3">
    <cacheField name="[Measures].[AVERAGE COST PER KM]" caption="AVERAGE COST PER KM" numFmtId="0" hierarchy="19" level="32767"/>
    <cacheField name="[Measures].[Max of Distance_KM]" caption="Max of Distance_KM" numFmtId="0" hierarchy="30" level="32767"/>
    <cacheField name="[Table1].[Destination].[Destination]" caption="Destination" numFmtId="0" hierarchy="9"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oneField="1">
      <fieldsUsage count="1">
        <fieldUsage x="0"/>
      </fieldsUsage>
    </cacheHierarchy>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Pc" refreshedDate="46012.948601736112" backgroundQuery="1" createdVersion="6" refreshedVersion="6" minRefreshableVersion="3" recordCount="0" supportSubquery="1" supportAdvancedDrill="1">
  <cacheSource type="external" connectionId="2"/>
  <cacheFields count="2">
    <cacheField name="[Table1].[Delivery_Status].[Delivery_Status]" caption="Delivery_Status" numFmtId="0" hierarchy="15" level="1">
      <sharedItems count="2">
        <s v="Delayed"/>
        <s v="On-Time"/>
      </sharedItems>
    </cacheField>
    <cacheField name="[Measures].[Count of Shipment_ID]" caption="Count of Shipment_ID" numFmtId="0" hierarchy="31" level="32767"/>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fieldsUsage count="2">
        <fieldUsage x="-1"/>
        <fieldUsage x="0"/>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Pc" refreshedDate="46013.402884027775" backgroundQuery="1" createdVersion="6" refreshedVersion="6" minRefreshableVersion="3" recordCount="0" supportSubquery="1" supportAdvancedDrill="1">
  <cacheSource type="external" connectionId="2"/>
  <cacheFields count="4">
    <cacheField name="[Measures].[Sum of Actual_Cost]" caption="Sum of Actual_Cost" numFmtId="0" hierarchy="27" level="32767"/>
    <cacheField name="[Measures].[Sum of Planned_Cost]" caption="Sum of Planned_Cost" numFmtId="0" hierarchy="28" level="32767"/>
    <cacheField name="[Table1].[Destination].[Destination]" caption="Destination" numFmtId="0" hierarchy="9" level="1">
      <sharedItems count="5">
        <s v="Abuja"/>
        <s v="Accra"/>
        <s v="Kumasi"/>
        <s v="Mombasa"/>
        <s v="Port Harcourt"/>
      </sharedItems>
    </cacheField>
    <cacheField name="[Table1].[Carrier].[Carrier]" caption="Carrier" numFmtId="0" hierarchy="11" level="1">
      <sharedItems containsSemiMixedTypes="0" containsNonDate="0" containsString="0"/>
    </cacheField>
  </cacheFields>
  <cacheHierarchies count="32">
    <cacheHierarchy uniqueName="[Cost_Breakdown].[Shipment_ID]" caption="Shipment_ID" attribute="1" defaultMemberUniqueName="[Cost_Breakdown].[Shipment_ID].[All]" allUniqueName="[Cost_Breakdown].[Shipment_ID].[All]" dimensionUniqueName="[Cost_Breakdown]" displayFolder="" count="2" memberValueDatatype="130" unbalanced="0"/>
    <cacheHierarchy uniqueName="[Cost_Breakdown].[Fuel_Cost]" caption="Fuel_Cost" attribute="1" defaultMemberUniqueName="[Cost_Breakdown].[Fuel_Cost].[All]" allUniqueName="[Cost_Breakdown].[Fuel_Cost].[All]" dimensionUniqueName="[Cost_Breakdown]" displayFolder="" count="2" memberValueDatatype="20" unbalanced="0"/>
    <cacheHierarchy uniqueName="[Cost_Breakdown].[Toll_Fees]" caption="Toll_Fees" attribute="1" defaultMemberUniqueName="[Cost_Breakdown].[Toll_Fees].[All]" allUniqueName="[Cost_Breakdown].[Toll_Fees].[All]" dimensionUniqueName="[Cost_Breakdown]" displayFolder="" count="2" memberValueDatatype="20" unbalanced="0"/>
    <cacheHierarchy uniqueName="[Cost_Breakdown].[Labor_Cost]" caption="Labor_Cost" attribute="1" defaultMemberUniqueName="[Cost_Breakdown].[Labor_Cost].[All]" allUniqueName="[Cost_Breakdown].[Labor_Cost].[All]" dimensionUniqueName="[Cost_Breakdown]" displayFolder="" count="2"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2" memberValueDatatype="20" unbalanced="0"/>
    <cacheHierarchy uniqueName="[Cost_Breakdown].[Other_Costs]" caption="Other_Costs" attribute="1" defaultMemberUniqueName="[Cost_Breakdown].[Other_Costs].[All]" allUniqueName="[Cost_Breakdown].[Other_Costs].[All]" dimensionUniqueName="[Cost_Breakdown]" displayFolder="" count="2" memberValueDatatype="20" unbalanced="0"/>
    <cacheHierarchy uniqueName="[Table1].[Shipment_ID]" caption="Shipment_ID" attribute="1" defaultMemberUniqueName="[Table1].[Shipment_ID].[All]" allUniqueName="[Table1].[Shipment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Origin]" caption="Origin" attribute="1" defaultMemberUniqueName="[Table1].[Origin].[All]" allUniqueName="[Table1].[Origin].[All]" dimensionUniqueName="[Table1]" displayFolder="" count="2"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2"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3"/>
      </fieldsUsage>
    </cacheHierarchy>
    <cacheHierarchy uniqueName="[Table1].[Mode]" caption="Mode" attribute="1" defaultMemberUniqueName="[Table1].[Mode].[All]" allUniqueName="[Table1].[Mode].[All]" dimensionUniqueName="[Table1]" displayFolder="" count="2" memberValueDatatype="130" unbalanced="0"/>
    <cacheHierarchy uniqueName="[Table1].[Planned_Cost]" caption="Planned_Cost" attribute="1" defaultMemberUniqueName="[Table1].[Planned_Cost].[All]" allUniqueName="[Table1].[Planned_Cost].[All]" dimensionUniqueName="[Table1]" displayFolder="" count="2" memberValueDatatype="20" unbalanced="0"/>
    <cacheHierarchy uniqueName="[Table1].[Actual_Cost]" caption="Actual_Cost" attribute="1" defaultMemberUniqueName="[Table1].[Actual_Cost].[All]" allUniqueName="[Table1].[Actual_Cost].[All]" dimensionUniqueName="[Table1]" displayFolder="" count="2"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ivery_Days]" caption="Delivery_Days" attribute="1" defaultMemberUniqueName="[Table1].[Delivery_Days].[All]" allUniqueName="[Table1].[Delivery_Days].[All]" dimensionUniqueName="[Table1]" displayFolder="" count="2"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Pc" refreshedDate="46013.403262731481" backgroundQuery="1" createdVersion="6" refreshedVersion="6" minRefreshableVersion="3" recordCount="0" supportSubquery="1" supportAdvancedDrill="1">
  <cacheSource type="external" connectionId="2"/>
  <cacheFields count="2">
    <cacheField name="[Measures].[TOTAL FREIGHT COST]" caption="TOTAL FREIGHT COST" numFmtId="0" hierarchy="17" level="32767"/>
    <cacheField name="[Table1].[Carrier].[Carrier]" caption="Carrier" numFmtId="0" hierarchy="11" level="1">
      <sharedItems count="6">
        <s v="Aramex"/>
        <s v="DHL"/>
        <s v="FedEx"/>
        <s v="GIG Logistics"/>
        <s v="TransLink"/>
        <s v="UPS"/>
      </sharedItems>
    </cacheField>
  </cacheFields>
  <cacheHierarchies count="32">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1"/>
      </fieldsUsage>
    </cacheHierarchy>
    <cacheHierarchy uniqueName="[Table1].[Mode]" caption="Mode" attribute="1" defaultMemberUniqueName="[Table1].[Mode].[All]" allUniqueName="[Table1].[Mode].[All]" dimensionUniqueName="[Table1]" displayFolder="" count="2"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y uniqueName="[Measures].[Count of Shipment_ID]" caption="Count of Shipment_ID"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Pc" refreshedDate="46012.945812268517"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2"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Sum of Actual_Cost]" caption="Sum of Actual_Cost" measure="1" displayFolder="" measureGroup="Table1" count="0">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extLst>
        <ext xmlns:x15="http://schemas.microsoft.com/office/spreadsheetml/2010/11/main" uri="{B97F6D7D-B522-45F9-BDA1-12C45D357490}">
          <x15:cacheHierarchy aggregatedColumn="10"/>
        </ext>
      </extLst>
    </cacheHierarchy>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Pc" refreshedDate="46012.945833449077"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Sum of Actual_Cost]" caption="Sum of Actual_Cost" measure="1" displayFolder="" measureGroup="Table1" count="0">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extLst>
        <ext xmlns:x15="http://schemas.microsoft.com/office/spreadsheetml/2010/11/main" uri="{B97F6D7D-B522-45F9-BDA1-12C45D357490}">
          <x15:cacheHierarchy aggregatedColumn="10"/>
        </ext>
      </extLst>
    </cacheHierarchy>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50">
  <r>
    <s v="SH0001"/>
    <d v="2025-03-28T00:00:00"/>
    <s v="Abuja"/>
    <s v="Lagos"/>
    <n v="601"/>
    <x v="0"/>
    <x v="0"/>
    <n v="217026"/>
    <n v="185315"/>
    <x v="0"/>
    <n v="6"/>
  </r>
  <r>
    <s v="SH0002"/>
    <d v="2025-03-13T00:00:00"/>
    <s v="Abuja"/>
    <s v="Takoradi"/>
    <n v="161"/>
    <x v="1"/>
    <x v="1"/>
    <n v="149123"/>
    <n v="127780"/>
    <x v="0"/>
    <n v="2"/>
  </r>
  <r>
    <s v="SH0003"/>
    <d v="2025-01-21T00:00:00"/>
    <s v="Accra"/>
    <s v="Nairobi"/>
    <n v="551"/>
    <x v="0"/>
    <x v="0"/>
    <n v="335514"/>
    <n v="362750"/>
    <x v="0"/>
    <n v="3"/>
  </r>
  <r>
    <s v="SH0004"/>
    <d v="2025-02-18T00:00:00"/>
    <s v="Nairobi"/>
    <s v="Port Harcourt"/>
    <n v="540"/>
    <x v="2"/>
    <x v="1"/>
    <n v="500290"/>
    <n v="494408"/>
    <x v="0"/>
    <n v="1"/>
  </r>
  <r>
    <s v="SH0005"/>
    <d v="2025-02-18T00:00:00"/>
    <s v="Abuja"/>
    <s v="Accra"/>
    <n v="188"/>
    <x v="2"/>
    <x v="0"/>
    <n v="482589"/>
    <n v="492806"/>
    <x v="0"/>
    <n v="5"/>
  </r>
  <r>
    <s v="SH0006"/>
    <d v="2025-02-07T00:00:00"/>
    <s v="Abuja"/>
    <s v="Takoradi"/>
    <n v="493"/>
    <x v="2"/>
    <x v="0"/>
    <n v="469398"/>
    <n v="428514"/>
    <x v="0"/>
    <n v="1"/>
  </r>
  <r>
    <s v="SH0007"/>
    <d v="2025-01-21T00:00:00"/>
    <s v="Abuja"/>
    <s v="Mombasa"/>
    <n v="878"/>
    <x v="3"/>
    <x v="1"/>
    <n v="245738"/>
    <n v="255167"/>
    <x v="1"/>
    <n v="6"/>
  </r>
  <r>
    <s v="SH0008"/>
    <d v="2025-01-21T00:00:00"/>
    <s v="Takoradi"/>
    <s v="Port Harcourt"/>
    <n v="246"/>
    <x v="3"/>
    <x v="0"/>
    <n v="419360"/>
    <n v="452587"/>
    <x v="0"/>
    <n v="2"/>
  </r>
  <r>
    <s v="SH0009"/>
    <d v="2025-01-30T00:00:00"/>
    <s v="Mombasa"/>
    <s v="Accra"/>
    <n v="764"/>
    <x v="2"/>
    <x v="1"/>
    <n v="541897"/>
    <n v="592601"/>
    <x v="0"/>
    <n v="7"/>
  </r>
  <r>
    <s v="SH0010"/>
    <d v="2025-01-28T00:00:00"/>
    <s v="Lagos"/>
    <s v="Mombasa"/>
    <n v="648"/>
    <x v="2"/>
    <x v="0"/>
    <n v="134701"/>
    <n v="112354"/>
    <x v="1"/>
    <n v="5"/>
  </r>
  <r>
    <s v="SH0011"/>
    <d v="2025-03-16T00:00:00"/>
    <s v="Mombasa"/>
    <s v="Accra"/>
    <n v="392"/>
    <x v="0"/>
    <x v="0"/>
    <n v="238873"/>
    <n v="207174"/>
    <x v="1"/>
    <n v="2"/>
  </r>
  <r>
    <s v="SH0012"/>
    <d v="2025-01-07T00:00:00"/>
    <s v="Nairobi"/>
    <s v="Kumasi"/>
    <n v="549"/>
    <x v="1"/>
    <x v="0"/>
    <n v="172525"/>
    <n v="189309"/>
    <x v="0"/>
    <n v="4"/>
  </r>
  <r>
    <s v="SH0013"/>
    <d v="2025-03-18T00:00:00"/>
    <s v="Abuja"/>
    <s v="Port Harcourt"/>
    <n v="964"/>
    <x v="0"/>
    <x v="1"/>
    <n v="412690"/>
    <n v="371016"/>
    <x v="1"/>
    <n v="4"/>
  </r>
  <r>
    <s v="SH0014"/>
    <d v="2025-03-24T00:00:00"/>
    <s v="Mombasa"/>
    <s v="Kumasi"/>
    <n v="334"/>
    <x v="2"/>
    <x v="1"/>
    <n v="457412"/>
    <n v="523382"/>
    <x v="1"/>
    <n v="5"/>
  </r>
  <r>
    <s v="SH0015"/>
    <d v="2025-03-06T00:00:00"/>
    <s v="Takoradi"/>
    <s v="Abuja"/>
    <n v="423"/>
    <x v="2"/>
    <x v="0"/>
    <n v="337881"/>
    <n v="288306"/>
    <x v="1"/>
    <n v="6"/>
  </r>
  <r>
    <s v="SH0016"/>
    <d v="2025-01-21T00:00:00"/>
    <s v="Port Harcourt"/>
    <s v="Takoradi"/>
    <n v="1139"/>
    <x v="4"/>
    <x v="0"/>
    <n v="419275"/>
    <n v="395346"/>
    <x v="1"/>
    <n v="2"/>
  </r>
  <r>
    <s v="SH0017"/>
    <d v="2025-01-31T00:00:00"/>
    <s v="Lagos"/>
    <s v="Takoradi"/>
    <n v="139"/>
    <x v="2"/>
    <x v="0"/>
    <n v="158650"/>
    <n v="230428"/>
    <x v="1"/>
    <n v="3"/>
  </r>
  <r>
    <s v="SH0018"/>
    <d v="2025-03-10T00:00:00"/>
    <s v="Lagos"/>
    <s v="Port Harcourt"/>
    <n v="275"/>
    <x v="5"/>
    <x v="1"/>
    <n v="483730"/>
    <n v="497429"/>
    <x v="0"/>
    <n v="7"/>
  </r>
  <r>
    <s v="SH0019"/>
    <d v="2025-01-28T00:00:00"/>
    <s v="Port Harcourt"/>
    <s v="Lagos"/>
    <n v="438"/>
    <x v="0"/>
    <x v="0"/>
    <n v="238966"/>
    <n v="258129"/>
    <x v="1"/>
    <n v="7"/>
  </r>
  <r>
    <s v="SH0020"/>
    <d v="2025-01-16T00:00:00"/>
    <s v="Accra"/>
    <s v="Nairobi"/>
    <n v="864"/>
    <x v="2"/>
    <x v="0"/>
    <n v="329690"/>
    <n v="397604"/>
    <x v="1"/>
    <n v="5"/>
  </r>
  <r>
    <s v="SH0021"/>
    <d v="2025-01-01T00:00:00"/>
    <s v="Accra"/>
    <s v="Lagos"/>
    <n v="143"/>
    <x v="4"/>
    <x v="0"/>
    <n v="408443"/>
    <n v="431046"/>
    <x v="0"/>
    <n v="2"/>
  </r>
  <r>
    <s v="SH0022"/>
    <d v="2025-01-10T00:00:00"/>
    <s v="Abuja"/>
    <s v="Nairobi"/>
    <n v="568"/>
    <x v="0"/>
    <x v="1"/>
    <n v="135337"/>
    <n v="204012"/>
    <x v="1"/>
    <n v="1"/>
  </r>
  <r>
    <s v="SH0023"/>
    <d v="2025-02-01T00:00:00"/>
    <s v="Accra"/>
    <s v="Port Harcourt"/>
    <n v="538"/>
    <x v="0"/>
    <x v="0"/>
    <n v="382713"/>
    <n v="350055"/>
    <x v="1"/>
    <n v="6"/>
  </r>
  <r>
    <s v="SH0024"/>
    <d v="2025-02-24T00:00:00"/>
    <s v="Mombasa"/>
    <s v="Nairobi"/>
    <n v="293"/>
    <x v="1"/>
    <x v="1"/>
    <n v="150819"/>
    <n v="187193"/>
    <x v="1"/>
    <n v="4"/>
  </r>
  <r>
    <s v="SH0025"/>
    <d v="2025-01-14T00:00:00"/>
    <s v="Nairobi"/>
    <s v="Accra"/>
    <n v="301"/>
    <x v="0"/>
    <x v="1"/>
    <n v="131778"/>
    <n v="134550"/>
    <x v="1"/>
    <n v="6"/>
  </r>
  <r>
    <s v="SH0026"/>
    <d v="2025-02-01T00:00:00"/>
    <s v="Accra"/>
    <s v="Lagos"/>
    <n v="387"/>
    <x v="3"/>
    <x v="0"/>
    <n v="321187"/>
    <n v="295237"/>
    <x v="1"/>
    <n v="3"/>
  </r>
  <r>
    <s v="SH0027"/>
    <d v="2025-01-12T00:00:00"/>
    <s v="Abuja"/>
    <s v="Kumasi"/>
    <n v="203"/>
    <x v="5"/>
    <x v="1"/>
    <n v="441911"/>
    <n v="462766"/>
    <x v="0"/>
    <n v="7"/>
  </r>
  <r>
    <s v="SH0028"/>
    <d v="2025-01-22T00:00:00"/>
    <s v="Accra"/>
    <s v="Lagos"/>
    <n v="1085"/>
    <x v="1"/>
    <x v="0"/>
    <n v="212065"/>
    <n v="275396"/>
    <x v="0"/>
    <n v="4"/>
  </r>
  <r>
    <s v="SH0029"/>
    <d v="2025-01-20T00:00:00"/>
    <s v="Nairobi"/>
    <s v="Abuja"/>
    <n v="1031"/>
    <x v="1"/>
    <x v="0"/>
    <n v="249552"/>
    <n v="254996"/>
    <x v="1"/>
    <n v="6"/>
  </r>
  <r>
    <s v="SH0030"/>
    <d v="2025-03-16T00:00:00"/>
    <s v="Accra"/>
    <s v="Port Harcourt"/>
    <n v="224"/>
    <x v="3"/>
    <x v="1"/>
    <n v="492154"/>
    <n v="483258"/>
    <x v="0"/>
    <n v="1"/>
  </r>
  <r>
    <s v="SH0031"/>
    <d v="2025-01-09T00:00:00"/>
    <s v="Mombasa"/>
    <s v="Kumasi"/>
    <n v="216"/>
    <x v="5"/>
    <x v="1"/>
    <n v="366248"/>
    <n v="326748"/>
    <x v="0"/>
    <n v="7"/>
  </r>
  <r>
    <s v="SH0032"/>
    <d v="2025-03-16T00:00:00"/>
    <s v="Abuja"/>
    <s v="Nairobi"/>
    <n v="345"/>
    <x v="3"/>
    <x v="0"/>
    <n v="593667"/>
    <n v="660358"/>
    <x v="0"/>
    <n v="5"/>
  </r>
  <r>
    <s v="SH0033"/>
    <d v="2025-03-27T00:00:00"/>
    <s v="Lagos"/>
    <s v="Takoradi"/>
    <n v="1170"/>
    <x v="4"/>
    <x v="0"/>
    <n v="265868"/>
    <n v="338381"/>
    <x v="0"/>
    <n v="3"/>
  </r>
  <r>
    <s v="SH0034"/>
    <d v="2025-02-10T00:00:00"/>
    <s v="Takoradi"/>
    <s v="Lagos"/>
    <n v="368"/>
    <x v="2"/>
    <x v="0"/>
    <n v="452159"/>
    <n v="486766"/>
    <x v="1"/>
    <n v="3"/>
  </r>
  <r>
    <s v="SH0035"/>
    <d v="2025-01-17T00:00:00"/>
    <s v="Abuja"/>
    <s v="Lagos"/>
    <n v="250"/>
    <x v="1"/>
    <x v="1"/>
    <n v="381875"/>
    <n v="359813"/>
    <x v="1"/>
    <n v="5"/>
  </r>
  <r>
    <s v="SH0036"/>
    <d v="2025-03-20T00:00:00"/>
    <s v="Takoradi"/>
    <s v="Abuja"/>
    <n v="683"/>
    <x v="3"/>
    <x v="0"/>
    <n v="182704"/>
    <n v="190137"/>
    <x v="1"/>
    <n v="7"/>
  </r>
  <r>
    <s v="SH0037"/>
    <d v="2025-01-15T00:00:00"/>
    <s v="Lagos"/>
    <s v="Nairobi"/>
    <n v="312"/>
    <x v="5"/>
    <x v="0"/>
    <n v="592269"/>
    <n v="657366"/>
    <x v="1"/>
    <n v="2"/>
  </r>
  <r>
    <s v="SH0038"/>
    <d v="2025-01-27T00:00:00"/>
    <s v="Abuja"/>
    <s v="Nairobi"/>
    <n v="657"/>
    <x v="5"/>
    <x v="1"/>
    <n v="247721"/>
    <n v="276997"/>
    <x v="1"/>
    <n v="2"/>
  </r>
  <r>
    <s v="SH0039"/>
    <d v="2025-01-06T00:00:00"/>
    <s v="Kumasi"/>
    <s v="Takoradi"/>
    <n v="204"/>
    <x v="1"/>
    <x v="0"/>
    <n v="148390"/>
    <n v="181526"/>
    <x v="1"/>
    <n v="4"/>
  </r>
  <r>
    <s v="SH0040"/>
    <d v="2025-03-13T00:00:00"/>
    <s v="Lagos"/>
    <s v="Accra"/>
    <n v="430"/>
    <x v="3"/>
    <x v="0"/>
    <n v="488618"/>
    <n v="496530"/>
    <x v="1"/>
    <n v="5"/>
  </r>
  <r>
    <s v="SH0041"/>
    <d v="2025-02-25T00:00:00"/>
    <s v="Lagos"/>
    <s v="Abuja"/>
    <n v="173"/>
    <x v="4"/>
    <x v="1"/>
    <n v="537568"/>
    <n v="535961"/>
    <x v="0"/>
    <n v="5"/>
  </r>
  <r>
    <s v="SH0042"/>
    <d v="2025-03-27T00:00:00"/>
    <s v="Port Harcourt"/>
    <s v="Abuja"/>
    <n v="181"/>
    <x v="2"/>
    <x v="0"/>
    <n v="571295"/>
    <n v="568193"/>
    <x v="0"/>
    <n v="2"/>
  </r>
  <r>
    <s v="SH0043"/>
    <d v="2025-01-23T00:00:00"/>
    <s v="Abuja"/>
    <s v="Accra"/>
    <n v="416"/>
    <x v="5"/>
    <x v="0"/>
    <n v="585366"/>
    <n v="657247"/>
    <x v="0"/>
    <n v="2"/>
  </r>
  <r>
    <s v="SH0044"/>
    <d v="2025-02-04T00:00:00"/>
    <s v="Nairobi"/>
    <s v="Abuja"/>
    <n v="943"/>
    <x v="3"/>
    <x v="0"/>
    <n v="520602"/>
    <n v="558408"/>
    <x v="0"/>
    <n v="7"/>
  </r>
  <r>
    <s v="SH0045"/>
    <d v="2025-01-29T00:00:00"/>
    <s v="Port Harcourt"/>
    <s v="Mombasa"/>
    <n v="883"/>
    <x v="0"/>
    <x v="1"/>
    <n v="557266"/>
    <n v="512341"/>
    <x v="1"/>
    <n v="7"/>
  </r>
  <r>
    <s v="SH0046"/>
    <d v="2025-01-29T00:00:00"/>
    <s v="Accra"/>
    <s v="Mombasa"/>
    <n v="725"/>
    <x v="1"/>
    <x v="0"/>
    <n v="530197"/>
    <n v="584444"/>
    <x v="0"/>
    <n v="7"/>
  </r>
  <r>
    <s v="SH0047"/>
    <d v="2025-02-14T00:00:00"/>
    <s v="Lagos"/>
    <s v="Nairobi"/>
    <n v="772"/>
    <x v="3"/>
    <x v="0"/>
    <n v="246068"/>
    <n v="309360"/>
    <x v="1"/>
    <n v="1"/>
  </r>
  <r>
    <s v="SH0048"/>
    <d v="2025-03-16T00:00:00"/>
    <s v="Nairobi"/>
    <s v="Takoradi"/>
    <n v="156"/>
    <x v="5"/>
    <x v="0"/>
    <n v="160472"/>
    <n v="225427"/>
    <x v="0"/>
    <n v="3"/>
  </r>
  <r>
    <s v="SH0049"/>
    <d v="2025-03-19T00:00:00"/>
    <s v="Kumasi"/>
    <s v="Abuja"/>
    <n v="807"/>
    <x v="4"/>
    <x v="0"/>
    <n v="481967"/>
    <n v="535045"/>
    <x v="1"/>
    <n v="3"/>
  </r>
  <r>
    <s v="SH0050"/>
    <d v="2025-03-08T00:00:00"/>
    <s v="Abuja"/>
    <s v="Kumasi"/>
    <n v="621"/>
    <x v="5"/>
    <x v="1"/>
    <n v="123271"/>
    <n v="166172"/>
    <x v="0"/>
    <n v="4"/>
  </r>
  <r>
    <s v="SH0051"/>
    <d v="2025-02-08T00:00:00"/>
    <s v="Accra"/>
    <s v="Port Harcourt"/>
    <n v="776"/>
    <x v="1"/>
    <x v="1"/>
    <n v="426712"/>
    <n v="417857"/>
    <x v="0"/>
    <n v="6"/>
  </r>
  <r>
    <s v="SH0052"/>
    <d v="2025-01-25T00:00:00"/>
    <s v="Kumasi"/>
    <s v="Nairobi"/>
    <n v="924"/>
    <x v="1"/>
    <x v="0"/>
    <n v="465538"/>
    <n v="454290"/>
    <x v="0"/>
    <n v="5"/>
  </r>
  <r>
    <s v="SH0053"/>
    <d v="2025-02-08T00:00:00"/>
    <s v="Nairobi"/>
    <s v="Takoradi"/>
    <n v="716"/>
    <x v="1"/>
    <x v="1"/>
    <n v="312900"/>
    <n v="334719"/>
    <x v="0"/>
    <n v="7"/>
  </r>
  <r>
    <s v="SH0054"/>
    <d v="2025-03-07T00:00:00"/>
    <s v="Kumasi"/>
    <s v="Lagos"/>
    <n v="1052"/>
    <x v="1"/>
    <x v="0"/>
    <n v="331623"/>
    <n v="339577"/>
    <x v="0"/>
    <n v="6"/>
  </r>
  <r>
    <s v="SH0055"/>
    <d v="2025-01-12T00:00:00"/>
    <s v="Mombasa"/>
    <s v="Nairobi"/>
    <n v="273"/>
    <x v="0"/>
    <x v="1"/>
    <n v="248785"/>
    <n v="266346"/>
    <x v="1"/>
    <n v="6"/>
  </r>
  <r>
    <s v="SH0056"/>
    <d v="2025-03-02T00:00:00"/>
    <s v="Accra"/>
    <s v="Nairobi"/>
    <n v="507"/>
    <x v="2"/>
    <x v="1"/>
    <n v="177255"/>
    <n v="130456"/>
    <x v="0"/>
    <n v="1"/>
  </r>
  <r>
    <s v="SH0057"/>
    <d v="2025-03-25T00:00:00"/>
    <s v="Abuja"/>
    <s v="Kumasi"/>
    <n v="886"/>
    <x v="1"/>
    <x v="1"/>
    <n v="359196"/>
    <n v="361579"/>
    <x v="0"/>
    <n v="2"/>
  </r>
  <r>
    <s v="SH0058"/>
    <d v="2025-01-07T00:00:00"/>
    <s v="Lagos"/>
    <s v="Mombasa"/>
    <n v="548"/>
    <x v="4"/>
    <x v="0"/>
    <n v="192215"/>
    <n v="247611"/>
    <x v="1"/>
    <n v="6"/>
  </r>
  <r>
    <s v="SH0059"/>
    <d v="2025-02-26T00:00:00"/>
    <s v="Accra"/>
    <s v="Mombasa"/>
    <n v="373"/>
    <x v="4"/>
    <x v="0"/>
    <n v="520173"/>
    <n v="531074"/>
    <x v="1"/>
    <n v="6"/>
  </r>
  <r>
    <s v="SH0060"/>
    <d v="2025-02-03T00:00:00"/>
    <s v="Nairobi"/>
    <s v="Mombasa"/>
    <n v="425"/>
    <x v="5"/>
    <x v="0"/>
    <n v="489889"/>
    <n v="552806"/>
    <x v="1"/>
    <n v="4"/>
  </r>
  <r>
    <s v="SH0061"/>
    <d v="2025-02-26T00:00:00"/>
    <s v="Accra"/>
    <s v="Mombasa"/>
    <n v="1167"/>
    <x v="0"/>
    <x v="0"/>
    <n v="354068"/>
    <n v="386217"/>
    <x v="1"/>
    <n v="2"/>
  </r>
  <r>
    <s v="SH0062"/>
    <d v="2025-01-18T00:00:00"/>
    <s v="Abuja"/>
    <s v="Nairobi"/>
    <n v="656"/>
    <x v="2"/>
    <x v="1"/>
    <n v="276080"/>
    <n v="267984"/>
    <x v="0"/>
    <n v="5"/>
  </r>
  <r>
    <s v="SH0063"/>
    <d v="2025-03-11T00:00:00"/>
    <s v="Port Harcourt"/>
    <s v="Lagos"/>
    <n v="538"/>
    <x v="1"/>
    <x v="1"/>
    <n v="133674"/>
    <n v="138051"/>
    <x v="1"/>
    <n v="4"/>
  </r>
  <r>
    <s v="SH0064"/>
    <d v="2025-03-15T00:00:00"/>
    <s v="Mombasa"/>
    <s v="Accra"/>
    <n v="960"/>
    <x v="4"/>
    <x v="1"/>
    <n v="304198"/>
    <n v="372796"/>
    <x v="0"/>
    <n v="7"/>
  </r>
  <r>
    <s v="SH0065"/>
    <d v="2025-03-10T00:00:00"/>
    <s v="Nairobi"/>
    <s v="Accra"/>
    <n v="711"/>
    <x v="4"/>
    <x v="0"/>
    <n v="495037"/>
    <n v="496153"/>
    <x v="1"/>
    <n v="7"/>
  </r>
  <r>
    <s v="SH0066"/>
    <d v="2025-03-27T00:00:00"/>
    <s v="Accra"/>
    <s v="Kumasi"/>
    <n v="992"/>
    <x v="3"/>
    <x v="0"/>
    <n v="354616"/>
    <n v="308420"/>
    <x v="1"/>
    <n v="4"/>
  </r>
  <r>
    <s v="SH0067"/>
    <d v="2025-03-17T00:00:00"/>
    <s v="Nairobi"/>
    <s v="Takoradi"/>
    <n v="361"/>
    <x v="3"/>
    <x v="0"/>
    <n v="426241"/>
    <n v="446249"/>
    <x v="1"/>
    <n v="1"/>
  </r>
  <r>
    <s v="SH0068"/>
    <d v="2025-02-03T00:00:00"/>
    <s v="Lagos"/>
    <s v="Abuja"/>
    <n v="377"/>
    <x v="0"/>
    <x v="0"/>
    <n v="554479"/>
    <n v="564994"/>
    <x v="0"/>
    <n v="2"/>
  </r>
  <r>
    <s v="SH0069"/>
    <d v="2025-02-23T00:00:00"/>
    <s v="Nairobi"/>
    <s v="Port Harcourt"/>
    <n v="769"/>
    <x v="3"/>
    <x v="0"/>
    <n v="276947"/>
    <n v="326722"/>
    <x v="1"/>
    <n v="4"/>
  </r>
  <r>
    <s v="SH0070"/>
    <d v="2025-01-29T00:00:00"/>
    <s v="Kumasi"/>
    <s v="Mombasa"/>
    <n v="139"/>
    <x v="4"/>
    <x v="0"/>
    <n v="492704"/>
    <n v="513406"/>
    <x v="1"/>
    <n v="1"/>
  </r>
  <r>
    <s v="SH0071"/>
    <d v="2025-03-21T00:00:00"/>
    <s v="Abuja"/>
    <s v="Mombasa"/>
    <n v="163"/>
    <x v="0"/>
    <x v="1"/>
    <n v="597870"/>
    <n v="580281"/>
    <x v="0"/>
    <n v="2"/>
  </r>
  <r>
    <s v="SH0072"/>
    <d v="2025-03-31T00:00:00"/>
    <s v="Port Harcourt"/>
    <s v="Lagos"/>
    <n v="334"/>
    <x v="3"/>
    <x v="0"/>
    <n v="395682"/>
    <n v="469906"/>
    <x v="1"/>
    <n v="2"/>
  </r>
  <r>
    <s v="SH0073"/>
    <d v="2025-01-14T00:00:00"/>
    <s v="Kumasi"/>
    <s v="Mombasa"/>
    <n v="334"/>
    <x v="2"/>
    <x v="1"/>
    <n v="507786"/>
    <n v="565173"/>
    <x v="1"/>
    <n v="2"/>
  </r>
  <r>
    <s v="SH0074"/>
    <d v="2025-03-17T00:00:00"/>
    <s v="Lagos"/>
    <s v="Accra"/>
    <n v="912"/>
    <x v="5"/>
    <x v="0"/>
    <n v="593601"/>
    <n v="637319"/>
    <x v="0"/>
    <n v="2"/>
  </r>
  <r>
    <s v="SH0075"/>
    <d v="2025-02-14T00:00:00"/>
    <s v="Accra"/>
    <s v="Abuja"/>
    <n v="347"/>
    <x v="0"/>
    <x v="0"/>
    <n v="517452"/>
    <n v="596406"/>
    <x v="0"/>
    <n v="5"/>
  </r>
  <r>
    <s v="SH0076"/>
    <d v="2025-03-04T00:00:00"/>
    <s v="Nairobi"/>
    <s v="Takoradi"/>
    <n v="1136"/>
    <x v="2"/>
    <x v="1"/>
    <n v="439499"/>
    <n v="434224"/>
    <x v="1"/>
    <n v="1"/>
  </r>
  <r>
    <s v="SH0077"/>
    <d v="2025-03-20T00:00:00"/>
    <s v="Abuja"/>
    <s v="Kumasi"/>
    <n v="413"/>
    <x v="2"/>
    <x v="0"/>
    <n v="328320"/>
    <n v="301406"/>
    <x v="1"/>
    <n v="6"/>
  </r>
  <r>
    <s v="SH0078"/>
    <d v="2025-02-05T00:00:00"/>
    <s v="Mombasa"/>
    <s v="Accra"/>
    <n v="760"/>
    <x v="1"/>
    <x v="0"/>
    <n v="546542"/>
    <n v="528719"/>
    <x v="0"/>
    <n v="7"/>
  </r>
  <r>
    <s v="SH0079"/>
    <d v="2025-01-24T00:00:00"/>
    <s v="Mombasa"/>
    <s v="Lagos"/>
    <n v="788"/>
    <x v="1"/>
    <x v="0"/>
    <n v="115047"/>
    <n v="129836"/>
    <x v="1"/>
    <n v="7"/>
  </r>
  <r>
    <s v="SH0080"/>
    <d v="2025-03-13T00:00:00"/>
    <s v="Mombasa"/>
    <s v="Lagos"/>
    <n v="797"/>
    <x v="2"/>
    <x v="0"/>
    <n v="246621"/>
    <n v="312006"/>
    <x v="1"/>
    <n v="5"/>
  </r>
  <r>
    <s v="SH0081"/>
    <d v="2025-03-30T00:00:00"/>
    <s v="Lagos"/>
    <s v="Takoradi"/>
    <n v="594"/>
    <x v="3"/>
    <x v="1"/>
    <n v="477526"/>
    <n v="480797"/>
    <x v="0"/>
    <n v="4"/>
  </r>
  <r>
    <s v="SH0082"/>
    <d v="2025-01-29T00:00:00"/>
    <s v="Mombasa"/>
    <s v="Takoradi"/>
    <n v="1017"/>
    <x v="0"/>
    <x v="0"/>
    <n v="515725"/>
    <n v="467985"/>
    <x v="1"/>
    <n v="1"/>
  </r>
  <r>
    <s v="SH0083"/>
    <d v="2025-02-24T00:00:00"/>
    <s v="Nairobi"/>
    <s v="Takoradi"/>
    <n v="855"/>
    <x v="3"/>
    <x v="0"/>
    <n v="348124"/>
    <n v="370668"/>
    <x v="1"/>
    <n v="5"/>
  </r>
  <r>
    <s v="SH0084"/>
    <d v="2025-01-25T00:00:00"/>
    <s v="Takoradi"/>
    <s v="Port Harcourt"/>
    <n v="654"/>
    <x v="0"/>
    <x v="0"/>
    <n v="260758"/>
    <n v="243709"/>
    <x v="0"/>
    <n v="2"/>
  </r>
  <r>
    <s v="SH0085"/>
    <d v="2025-03-17T00:00:00"/>
    <s v="Takoradi"/>
    <s v="Abuja"/>
    <n v="492"/>
    <x v="0"/>
    <x v="1"/>
    <n v="213447"/>
    <n v="260257"/>
    <x v="1"/>
    <n v="4"/>
  </r>
  <r>
    <s v="SH0086"/>
    <d v="2025-04-01T00:00:00"/>
    <s v="Kumasi"/>
    <s v="Abuja"/>
    <n v="565"/>
    <x v="3"/>
    <x v="0"/>
    <n v="289205"/>
    <n v="262724"/>
    <x v="0"/>
    <n v="3"/>
  </r>
  <r>
    <s v="SH0087"/>
    <d v="2025-01-14T00:00:00"/>
    <s v="Port Harcourt"/>
    <s v="Accra"/>
    <n v="698"/>
    <x v="4"/>
    <x v="1"/>
    <n v="465647"/>
    <n v="539390"/>
    <x v="1"/>
    <n v="2"/>
  </r>
  <r>
    <s v="SH0088"/>
    <d v="2025-02-02T00:00:00"/>
    <s v="Lagos"/>
    <s v="Takoradi"/>
    <n v="1080"/>
    <x v="2"/>
    <x v="0"/>
    <n v="330932"/>
    <n v="325589"/>
    <x v="0"/>
    <n v="2"/>
  </r>
  <r>
    <s v="SH0089"/>
    <d v="2025-01-20T00:00:00"/>
    <s v="Mombasa"/>
    <s v="Abuja"/>
    <n v="1107"/>
    <x v="4"/>
    <x v="0"/>
    <n v="138840"/>
    <n v="164471"/>
    <x v="0"/>
    <n v="6"/>
  </r>
  <r>
    <s v="SH0090"/>
    <d v="2025-03-19T00:00:00"/>
    <s v="Port Harcourt"/>
    <s v="Mombasa"/>
    <n v="274"/>
    <x v="5"/>
    <x v="0"/>
    <n v="230123"/>
    <n v="195648"/>
    <x v="1"/>
    <n v="5"/>
  </r>
  <r>
    <s v="SH0091"/>
    <d v="2025-02-09T00:00:00"/>
    <s v="Accra"/>
    <s v="Mombasa"/>
    <n v="1022"/>
    <x v="5"/>
    <x v="0"/>
    <n v="576317"/>
    <n v="584345"/>
    <x v="1"/>
    <n v="3"/>
  </r>
  <r>
    <s v="SH0092"/>
    <d v="2025-01-21T00:00:00"/>
    <s v="Lagos"/>
    <s v="Takoradi"/>
    <n v="525"/>
    <x v="0"/>
    <x v="1"/>
    <n v="427950"/>
    <n v="405609"/>
    <x v="0"/>
    <n v="3"/>
  </r>
  <r>
    <s v="SH0093"/>
    <d v="2025-02-07T00:00:00"/>
    <s v="Accra"/>
    <s v="Lagos"/>
    <n v="420"/>
    <x v="5"/>
    <x v="1"/>
    <n v="101402"/>
    <n v="104947"/>
    <x v="1"/>
    <n v="4"/>
  </r>
  <r>
    <s v="SH0094"/>
    <d v="2025-03-22T00:00:00"/>
    <s v="Lagos"/>
    <s v="Port Harcourt"/>
    <n v="1029"/>
    <x v="2"/>
    <x v="0"/>
    <n v="137318"/>
    <n v="177414"/>
    <x v="1"/>
    <n v="2"/>
  </r>
  <r>
    <s v="SH0095"/>
    <d v="2025-01-10T00:00:00"/>
    <s v="Accra"/>
    <s v="Kumasi"/>
    <n v="405"/>
    <x v="4"/>
    <x v="1"/>
    <n v="576269"/>
    <n v="561085"/>
    <x v="0"/>
    <n v="7"/>
  </r>
  <r>
    <s v="SH0096"/>
    <d v="2025-03-31T00:00:00"/>
    <s v="Lagos"/>
    <s v="Port Harcourt"/>
    <n v="999"/>
    <x v="2"/>
    <x v="0"/>
    <n v="165197"/>
    <n v="176630"/>
    <x v="1"/>
    <n v="6"/>
  </r>
  <r>
    <s v="SH0097"/>
    <d v="2025-02-11T00:00:00"/>
    <s v="Nairobi"/>
    <s v="Port Harcourt"/>
    <n v="996"/>
    <x v="5"/>
    <x v="0"/>
    <n v="142174"/>
    <n v="170559"/>
    <x v="1"/>
    <n v="1"/>
  </r>
  <r>
    <s v="SH0098"/>
    <d v="2025-03-15T00:00:00"/>
    <s v="Kumasi"/>
    <s v="Abuja"/>
    <n v="142"/>
    <x v="4"/>
    <x v="1"/>
    <n v="500954"/>
    <n v="539071"/>
    <x v="1"/>
    <n v="7"/>
  </r>
  <r>
    <s v="SH0099"/>
    <d v="2025-03-16T00:00:00"/>
    <s v="Lagos"/>
    <s v="Mombasa"/>
    <n v="1162"/>
    <x v="3"/>
    <x v="0"/>
    <n v="441578"/>
    <n v="449541"/>
    <x v="0"/>
    <n v="3"/>
  </r>
  <r>
    <s v="SH0100"/>
    <d v="2025-03-27T00:00:00"/>
    <s v="Nairobi"/>
    <s v="Takoradi"/>
    <n v="1062"/>
    <x v="1"/>
    <x v="1"/>
    <n v="282431"/>
    <n v="285954"/>
    <x v="1"/>
    <n v="3"/>
  </r>
  <r>
    <s v="SH0101"/>
    <d v="2025-03-12T00:00:00"/>
    <s v="Abuja"/>
    <s v="Mombasa"/>
    <n v="943"/>
    <x v="3"/>
    <x v="0"/>
    <n v="463684"/>
    <n v="478626"/>
    <x v="1"/>
    <n v="3"/>
  </r>
  <r>
    <s v="SH0102"/>
    <d v="2025-03-07T00:00:00"/>
    <s v="Lagos"/>
    <s v="Kumasi"/>
    <n v="616"/>
    <x v="4"/>
    <x v="0"/>
    <n v="269488"/>
    <n v="234682"/>
    <x v="1"/>
    <n v="7"/>
  </r>
  <r>
    <s v="SH0103"/>
    <d v="2025-03-21T00:00:00"/>
    <s v="Lagos"/>
    <s v="Nairobi"/>
    <n v="946"/>
    <x v="5"/>
    <x v="0"/>
    <n v="128418"/>
    <n v="103004"/>
    <x v="1"/>
    <n v="5"/>
  </r>
  <r>
    <s v="SH0104"/>
    <d v="2025-02-26T00:00:00"/>
    <s v="Mombasa"/>
    <s v="Takoradi"/>
    <n v="516"/>
    <x v="1"/>
    <x v="1"/>
    <n v="240014"/>
    <n v="262001"/>
    <x v="1"/>
    <n v="2"/>
  </r>
  <r>
    <s v="SH0105"/>
    <d v="2025-01-12T00:00:00"/>
    <s v="Mombasa"/>
    <s v="Abuja"/>
    <n v="424"/>
    <x v="4"/>
    <x v="1"/>
    <n v="262922"/>
    <n v="285121"/>
    <x v="1"/>
    <n v="1"/>
  </r>
  <r>
    <s v="SH0106"/>
    <d v="2025-02-07T00:00:00"/>
    <s v="Accra"/>
    <s v="Mombasa"/>
    <n v="340"/>
    <x v="4"/>
    <x v="0"/>
    <n v="439586"/>
    <n v="498656"/>
    <x v="1"/>
    <n v="2"/>
  </r>
  <r>
    <s v="SH0107"/>
    <d v="2025-01-25T00:00:00"/>
    <s v="Kumasi"/>
    <s v="Accra"/>
    <n v="599"/>
    <x v="1"/>
    <x v="0"/>
    <n v="339487"/>
    <n v="361742"/>
    <x v="1"/>
    <n v="2"/>
  </r>
  <r>
    <s v="SH0108"/>
    <d v="2025-01-01T00:00:00"/>
    <s v="Port Harcourt"/>
    <s v="Mombasa"/>
    <n v="949"/>
    <x v="4"/>
    <x v="0"/>
    <n v="278192"/>
    <n v="350645"/>
    <x v="1"/>
    <n v="7"/>
  </r>
  <r>
    <s v="SH0109"/>
    <d v="2025-02-12T00:00:00"/>
    <s v="Kumasi"/>
    <s v="Nairobi"/>
    <n v="404"/>
    <x v="2"/>
    <x v="0"/>
    <n v="334119"/>
    <n v="354711"/>
    <x v="1"/>
    <n v="4"/>
  </r>
  <r>
    <s v="SH0110"/>
    <d v="2025-01-06T00:00:00"/>
    <s v="Nairobi"/>
    <s v="Accra"/>
    <n v="589"/>
    <x v="2"/>
    <x v="1"/>
    <n v="399786"/>
    <n v="399982"/>
    <x v="1"/>
    <n v="2"/>
  </r>
  <r>
    <s v="SH0111"/>
    <d v="2025-03-05T00:00:00"/>
    <s v="Takoradi"/>
    <s v="Nairobi"/>
    <n v="890"/>
    <x v="1"/>
    <x v="0"/>
    <n v="447964"/>
    <n v="501824"/>
    <x v="0"/>
    <n v="7"/>
  </r>
  <r>
    <s v="SH0112"/>
    <d v="2025-03-09T00:00:00"/>
    <s v="Lagos"/>
    <s v="Port Harcourt"/>
    <n v="305"/>
    <x v="5"/>
    <x v="0"/>
    <n v="558327"/>
    <n v="619088"/>
    <x v="0"/>
    <n v="4"/>
  </r>
  <r>
    <s v="SH0113"/>
    <d v="2025-03-02T00:00:00"/>
    <s v="Mombasa"/>
    <s v="Abuja"/>
    <n v="939"/>
    <x v="0"/>
    <x v="1"/>
    <n v="556619"/>
    <n v="592442"/>
    <x v="0"/>
    <n v="2"/>
  </r>
  <r>
    <s v="SH0114"/>
    <d v="2025-02-10T00:00:00"/>
    <s v="Kumasi"/>
    <s v="Port Harcourt"/>
    <n v="264"/>
    <x v="5"/>
    <x v="0"/>
    <n v="546570"/>
    <n v="539635"/>
    <x v="1"/>
    <n v="7"/>
  </r>
  <r>
    <s v="SH0115"/>
    <d v="2025-01-30T00:00:00"/>
    <s v="Mombasa"/>
    <s v="Nairobi"/>
    <n v="240"/>
    <x v="5"/>
    <x v="1"/>
    <n v="223087"/>
    <n v="255814"/>
    <x v="1"/>
    <n v="6"/>
  </r>
  <r>
    <s v="SH0116"/>
    <d v="2025-01-06T00:00:00"/>
    <s v="Abuja"/>
    <s v="Kumasi"/>
    <n v="1008"/>
    <x v="4"/>
    <x v="1"/>
    <n v="187223"/>
    <n v="228187"/>
    <x v="0"/>
    <n v="3"/>
  </r>
  <r>
    <s v="SH0117"/>
    <d v="2025-03-09T00:00:00"/>
    <s v="Takoradi"/>
    <s v="Mombasa"/>
    <n v="834"/>
    <x v="4"/>
    <x v="0"/>
    <n v="296524"/>
    <n v="302974"/>
    <x v="0"/>
    <n v="2"/>
  </r>
  <r>
    <s v="SH0118"/>
    <d v="2025-03-21T00:00:00"/>
    <s v="Nairobi"/>
    <s v="Kumasi"/>
    <n v="448"/>
    <x v="0"/>
    <x v="1"/>
    <n v="191786"/>
    <n v="152136"/>
    <x v="1"/>
    <n v="5"/>
  </r>
  <r>
    <s v="SH0119"/>
    <d v="2025-02-02T00:00:00"/>
    <s v="Accra"/>
    <s v="Kumasi"/>
    <n v="575"/>
    <x v="5"/>
    <x v="1"/>
    <n v="341775"/>
    <n v="375386"/>
    <x v="1"/>
    <n v="3"/>
  </r>
  <r>
    <s v="SH0120"/>
    <d v="2025-03-23T00:00:00"/>
    <s v="Lagos"/>
    <s v="Mombasa"/>
    <n v="423"/>
    <x v="1"/>
    <x v="0"/>
    <n v="138724"/>
    <n v="146622"/>
    <x v="1"/>
    <n v="3"/>
  </r>
  <r>
    <s v="SH0121"/>
    <d v="2025-01-14T00:00:00"/>
    <s v="Nairobi"/>
    <s v="Takoradi"/>
    <n v="718"/>
    <x v="2"/>
    <x v="0"/>
    <n v="204447"/>
    <n v="204869"/>
    <x v="1"/>
    <n v="7"/>
  </r>
  <r>
    <s v="SH0122"/>
    <d v="2025-02-05T00:00:00"/>
    <s v="Accra"/>
    <s v="Kumasi"/>
    <n v="705"/>
    <x v="5"/>
    <x v="0"/>
    <n v="466623"/>
    <n v="455319"/>
    <x v="1"/>
    <n v="1"/>
  </r>
  <r>
    <s v="SH0123"/>
    <d v="2025-03-19T00:00:00"/>
    <s v="Lagos"/>
    <s v="Takoradi"/>
    <n v="1117"/>
    <x v="0"/>
    <x v="1"/>
    <n v="536647"/>
    <n v="605156"/>
    <x v="0"/>
    <n v="3"/>
  </r>
  <r>
    <s v="SH0124"/>
    <d v="2025-03-22T00:00:00"/>
    <s v="Takoradi"/>
    <s v="Lagos"/>
    <n v="613"/>
    <x v="0"/>
    <x v="1"/>
    <n v="455343"/>
    <n v="504378"/>
    <x v="0"/>
    <n v="6"/>
  </r>
  <r>
    <s v="SH0125"/>
    <d v="2025-01-17T00:00:00"/>
    <s v="Abuja"/>
    <s v="Nairobi"/>
    <n v="732"/>
    <x v="0"/>
    <x v="1"/>
    <n v="513459"/>
    <n v="521238"/>
    <x v="1"/>
    <n v="1"/>
  </r>
  <r>
    <s v="SH0126"/>
    <d v="2025-03-09T00:00:00"/>
    <s v="Abuja"/>
    <s v="Accra"/>
    <n v="459"/>
    <x v="2"/>
    <x v="0"/>
    <n v="205274"/>
    <n v="172596"/>
    <x v="1"/>
    <n v="7"/>
  </r>
  <r>
    <s v="SH0127"/>
    <d v="2025-01-15T00:00:00"/>
    <s v="Kumasi"/>
    <s v="Mombasa"/>
    <n v="1086"/>
    <x v="3"/>
    <x v="0"/>
    <n v="522832"/>
    <n v="511516"/>
    <x v="1"/>
    <n v="6"/>
  </r>
  <r>
    <s v="SH0128"/>
    <d v="2025-01-12T00:00:00"/>
    <s v="Mombasa"/>
    <s v="Abuja"/>
    <n v="913"/>
    <x v="3"/>
    <x v="1"/>
    <n v="543413"/>
    <n v="598871"/>
    <x v="1"/>
    <n v="5"/>
  </r>
  <r>
    <s v="SH0129"/>
    <d v="2025-03-16T00:00:00"/>
    <s v="Nairobi"/>
    <s v="Abuja"/>
    <n v="1031"/>
    <x v="2"/>
    <x v="1"/>
    <n v="293245"/>
    <n v="331433"/>
    <x v="1"/>
    <n v="6"/>
  </r>
  <r>
    <s v="SH0130"/>
    <d v="2025-03-21T00:00:00"/>
    <s v="Nairobi"/>
    <s v="Mombasa"/>
    <n v="321"/>
    <x v="0"/>
    <x v="0"/>
    <n v="453808"/>
    <n v="434455"/>
    <x v="0"/>
    <n v="4"/>
  </r>
  <r>
    <s v="SH0131"/>
    <d v="2025-01-15T00:00:00"/>
    <s v="Takoradi"/>
    <s v="Kumasi"/>
    <n v="1050"/>
    <x v="3"/>
    <x v="1"/>
    <n v="576781"/>
    <n v="618672"/>
    <x v="1"/>
    <n v="3"/>
  </r>
  <r>
    <s v="SH0132"/>
    <d v="2025-02-19T00:00:00"/>
    <s v="Port Harcourt"/>
    <s v="Abuja"/>
    <n v="1108"/>
    <x v="4"/>
    <x v="0"/>
    <n v="160880"/>
    <n v="123619"/>
    <x v="0"/>
    <n v="2"/>
  </r>
  <r>
    <s v="SH0133"/>
    <d v="2025-03-04T00:00:00"/>
    <s v="Mombasa"/>
    <s v="Port Harcourt"/>
    <n v="416"/>
    <x v="0"/>
    <x v="0"/>
    <n v="564211"/>
    <n v="568590"/>
    <x v="0"/>
    <n v="6"/>
  </r>
  <r>
    <s v="SH0134"/>
    <d v="2025-01-13T00:00:00"/>
    <s v="Nairobi"/>
    <s v="Port Harcourt"/>
    <n v="544"/>
    <x v="4"/>
    <x v="0"/>
    <n v="332460"/>
    <n v="340747"/>
    <x v="1"/>
    <n v="2"/>
  </r>
  <r>
    <s v="SH0135"/>
    <d v="2025-02-28T00:00:00"/>
    <s v="Takoradi"/>
    <s v="Kumasi"/>
    <n v="224"/>
    <x v="0"/>
    <x v="0"/>
    <n v="308739"/>
    <n v="294899"/>
    <x v="0"/>
    <n v="2"/>
  </r>
  <r>
    <s v="SH0136"/>
    <d v="2025-03-14T00:00:00"/>
    <s v="Abuja"/>
    <s v="Nairobi"/>
    <n v="203"/>
    <x v="3"/>
    <x v="1"/>
    <n v="512506"/>
    <n v="506219"/>
    <x v="0"/>
    <n v="2"/>
  </r>
  <r>
    <s v="SH0137"/>
    <d v="2025-01-19T00:00:00"/>
    <s v="Accra"/>
    <s v="Abuja"/>
    <n v="542"/>
    <x v="5"/>
    <x v="1"/>
    <n v="526273"/>
    <n v="590265"/>
    <x v="1"/>
    <n v="2"/>
  </r>
  <r>
    <s v="SH0138"/>
    <d v="2025-01-17T00:00:00"/>
    <s v="Lagos"/>
    <s v="Accra"/>
    <n v="613"/>
    <x v="3"/>
    <x v="1"/>
    <n v="518651"/>
    <n v="491522"/>
    <x v="0"/>
    <n v="1"/>
  </r>
  <r>
    <s v="SH0139"/>
    <d v="2025-02-23T00:00:00"/>
    <s v="Lagos"/>
    <s v="Accra"/>
    <n v="132"/>
    <x v="3"/>
    <x v="0"/>
    <n v="191355"/>
    <n v="176137"/>
    <x v="0"/>
    <n v="1"/>
  </r>
  <r>
    <s v="SH0140"/>
    <d v="2025-02-27T00:00:00"/>
    <s v="Abuja"/>
    <s v="Nairobi"/>
    <n v="1018"/>
    <x v="4"/>
    <x v="0"/>
    <n v="507904"/>
    <n v="505357"/>
    <x v="0"/>
    <n v="5"/>
  </r>
  <r>
    <s v="SH0141"/>
    <d v="2025-03-03T00:00:00"/>
    <s v="Accra"/>
    <s v="Takoradi"/>
    <n v="1038"/>
    <x v="4"/>
    <x v="0"/>
    <n v="437295"/>
    <n v="513651"/>
    <x v="0"/>
    <n v="1"/>
  </r>
  <r>
    <s v="SH0142"/>
    <d v="2025-01-11T00:00:00"/>
    <s v="Nairobi"/>
    <s v="Accra"/>
    <n v="1104"/>
    <x v="0"/>
    <x v="1"/>
    <n v="473503"/>
    <n v="542739"/>
    <x v="0"/>
    <n v="4"/>
  </r>
  <r>
    <s v="SH0143"/>
    <d v="2025-02-18T00:00:00"/>
    <s v="Takoradi"/>
    <s v="Kumasi"/>
    <n v="358"/>
    <x v="3"/>
    <x v="1"/>
    <n v="244187"/>
    <n v="276017"/>
    <x v="1"/>
    <n v="6"/>
  </r>
  <r>
    <s v="SH0144"/>
    <d v="2025-02-25T00:00:00"/>
    <s v="Kumasi"/>
    <s v="Accra"/>
    <n v="303"/>
    <x v="5"/>
    <x v="0"/>
    <n v="515810"/>
    <n v="557793"/>
    <x v="0"/>
    <n v="1"/>
  </r>
  <r>
    <s v="SH0145"/>
    <d v="2025-02-10T00:00:00"/>
    <s v="Mombasa"/>
    <s v="Lagos"/>
    <n v="1028"/>
    <x v="1"/>
    <x v="0"/>
    <n v="309049"/>
    <n v="313573"/>
    <x v="0"/>
    <n v="6"/>
  </r>
  <r>
    <s v="SH0146"/>
    <d v="2025-01-09T00:00:00"/>
    <s v="Nairobi"/>
    <s v="Port Harcourt"/>
    <n v="866"/>
    <x v="0"/>
    <x v="0"/>
    <n v="599957"/>
    <n v="569963"/>
    <x v="1"/>
    <n v="6"/>
  </r>
  <r>
    <s v="SH0147"/>
    <d v="2025-01-17T00:00:00"/>
    <s v="Abuja"/>
    <s v="Mombasa"/>
    <n v="984"/>
    <x v="4"/>
    <x v="1"/>
    <n v="150627"/>
    <n v="198221"/>
    <x v="1"/>
    <n v="6"/>
  </r>
  <r>
    <s v="SH0148"/>
    <d v="2025-01-07T00:00:00"/>
    <s v="Lagos"/>
    <s v="Takoradi"/>
    <n v="350"/>
    <x v="5"/>
    <x v="0"/>
    <n v="315382"/>
    <n v="311728"/>
    <x v="1"/>
    <n v="7"/>
  </r>
  <r>
    <s v="SH0149"/>
    <d v="2025-03-26T00:00:00"/>
    <s v="Kumasi"/>
    <s v="Takoradi"/>
    <n v="312"/>
    <x v="2"/>
    <x v="0"/>
    <n v="402995"/>
    <n v="419502"/>
    <x v="0"/>
    <n v="2"/>
  </r>
  <r>
    <s v="SH0150"/>
    <d v="2025-02-24T00:00:00"/>
    <s v="Mombasa"/>
    <s v="Lagos"/>
    <n v="852"/>
    <x v="4"/>
    <x v="0"/>
    <n v="160232"/>
    <n v="210188"/>
    <x v="0"/>
    <n v="3"/>
  </r>
  <r>
    <s v="SH0151"/>
    <d v="2025-02-13T00:00:00"/>
    <s v="Lagos"/>
    <s v="Takoradi"/>
    <n v="159"/>
    <x v="0"/>
    <x v="0"/>
    <n v="194589"/>
    <n v="180407"/>
    <x v="1"/>
    <n v="6"/>
  </r>
  <r>
    <s v="SH0152"/>
    <d v="2025-01-12T00:00:00"/>
    <s v="Takoradi"/>
    <s v="Abuja"/>
    <n v="920"/>
    <x v="3"/>
    <x v="1"/>
    <n v="136482"/>
    <n v="105077"/>
    <x v="0"/>
    <n v="6"/>
  </r>
  <r>
    <s v="SH0153"/>
    <d v="2025-03-14T00:00:00"/>
    <s v="Accra"/>
    <s v="Kumasi"/>
    <n v="798"/>
    <x v="1"/>
    <x v="0"/>
    <n v="182527"/>
    <n v="181030"/>
    <x v="1"/>
    <n v="3"/>
  </r>
  <r>
    <s v="SH0154"/>
    <d v="2025-03-26T00:00:00"/>
    <s v="Abuja"/>
    <s v="Lagos"/>
    <n v="201"/>
    <x v="3"/>
    <x v="1"/>
    <n v="453353"/>
    <n v="414046"/>
    <x v="1"/>
    <n v="3"/>
  </r>
  <r>
    <s v="SH0155"/>
    <d v="2025-02-14T00:00:00"/>
    <s v="Nairobi"/>
    <s v="Accra"/>
    <n v="948"/>
    <x v="5"/>
    <x v="0"/>
    <n v="243218"/>
    <n v="221473"/>
    <x v="0"/>
    <n v="7"/>
  </r>
  <r>
    <s v="SH0156"/>
    <d v="2025-02-20T00:00:00"/>
    <s v="Nairobi"/>
    <s v="Abuja"/>
    <n v="1179"/>
    <x v="2"/>
    <x v="0"/>
    <n v="449769"/>
    <n v="440194"/>
    <x v="0"/>
    <n v="1"/>
  </r>
  <r>
    <s v="SH0157"/>
    <d v="2025-02-07T00:00:00"/>
    <s v="Lagos"/>
    <s v="Abuja"/>
    <n v="532"/>
    <x v="3"/>
    <x v="0"/>
    <n v="502312"/>
    <n v="470299"/>
    <x v="1"/>
    <n v="7"/>
  </r>
  <r>
    <s v="SH0158"/>
    <d v="2025-03-06T00:00:00"/>
    <s v="Takoradi"/>
    <s v="Abuja"/>
    <n v="981"/>
    <x v="4"/>
    <x v="0"/>
    <n v="192114"/>
    <n v="159046"/>
    <x v="0"/>
    <n v="4"/>
  </r>
  <r>
    <s v="SH0159"/>
    <d v="2025-03-15T00:00:00"/>
    <s v="Takoradi"/>
    <s v="Abuja"/>
    <n v="993"/>
    <x v="1"/>
    <x v="1"/>
    <n v="109825"/>
    <n v="120085"/>
    <x v="1"/>
    <n v="1"/>
  </r>
  <r>
    <s v="SH0160"/>
    <d v="2025-01-22T00:00:00"/>
    <s v="Nairobi"/>
    <s v="Kumasi"/>
    <n v="692"/>
    <x v="1"/>
    <x v="0"/>
    <n v="160384"/>
    <n v="163472"/>
    <x v="1"/>
    <n v="1"/>
  </r>
  <r>
    <s v="SH0161"/>
    <d v="2025-02-25T00:00:00"/>
    <s v="Mombasa"/>
    <s v="Nairobi"/>
    <n v="280"/>
    <x v="0"/>
    <x v="0"/>
    <n v="328962"/>
    <n v="389650"/>
    <x v="0"/>
    <n v="1"/>
  </r>
  <r>
    <s v="SH0162"/>
    <d v="2025-01-22T00:00:00"/>
    <s v="Nairobi"/>
    <s v="Kumasi"/>
    <n v="735"/>
    <x v="4"/>
    <x v="0"/>
    <n v="491016"/>
    <n v="485516"/>
    <x v="1"/>
    <n v="2"/>
  </r>
  <r>
    <s v="SH0163"/>
    <d v="2025-02-14T00:00:00"/>
    <s v="Abuja"/>
    <s v="Takoradi"/>
    <n v="1186"/>
    <x v="0"/>
    <x v="1"/>
    <n v="367361"/>
    <n v="342776"/>
    <x v="1"/>
    <n v="7"/>
  </r>
  <r>
    <s v="SH0164"/>
    <d v="2025-03-25T00:00:00"/>
    <s v="Port Harcourt"/>
    <s v="Lagos"/>
    <n v="624"/>
    <x v="4"/>
    <x v="1"/>
    <n v="203427"/>
    <n v="176167"/>
    <x v="0"/>
    <n v="5"/>
  </r>
  <r>
    <s v="SH0165"/>
    <d v="2025-03-29T00:00:00"/>
    <s v="Abuja"/>
    <s v="Port Harcourt"/>
    <n v="1050"/>
    <x v="0"/>
    <x v="0"/>
    <n v="495546"/>
    <n v="519435"/>
    <x v="1"/>
    <n v="7"/>
  </r>
  <r>
    <s v="SH0166"/>
    <d v="2025-03-22T00:00:00"/>
    <s v="Takoradi"/>
    <s v="Mombasa"/>
    <n v="409"/>
    <x v="0"/>
    <x v="0"/>
    <n v="330562"/>
    <n v="289512"/>
    <x v="1"/>
    <n v="4"/>
  </r>
  <r>
    <s v="SH0167"/>
    <d v="2025-02-27T00:00:00"/>
    <s v="Kumasi"/>
    <s v="Mombasa"/>
    <n v="820"/>
    <x v="2"/>
    <x v="1"/>
    <n v="365990"/>
    <n v="325714"/>
    <x v="1"/>
    <n v="3"/>
  </r>
  <r>
    <s v="SH0168"/>
    <d v="2025-03-20T00:00:00"/>
    <s v="Lagos"/>
    <s v="Abuja"/>
    <n v="257"/>
    <x v="2"/>
    <x v="0"/>
    <n v="437990"/>
    <n v="501268"/>
    <x v="0"/>
    <n v="7"/>
  </r>
  <r>
    <s v="SH0169"/>
    <d v="2025-02-11T00:00:00"/>
    <s v="Nairobi"/>
    <s v="Accra"/>
    <n v="1021"/>
    <x v="5"/>
    <x v="1"/>
    <n v="576603"/>
    <n v="632747"/>
    <x v="0"/>
    <n v="5"/>
  </r>
  <r>
    <s v="SH0170"/>
    <d v="2025-01-11T00:00:00"/>
    <s v="Mombasa"/>
    <s v="Kumasi"/>
    <n v="1022"/>
    <x v="3"/>
    <x v="1"/>
    <n v="154264"/>
    <n v="210559"/>
    <x v="1"/>
    <n v="7"/>
  </r>
  <r>
    <s v="SH0171"/>
    <d v="2025-02-16T00:00:00"/>
    <s v="Port Harcourt"/>
    <s v="Abuja"/>
    <n v="999"/>
    <x v="3"/>
    <x v="0"/>
    <n v="374762"/>
    <n v="393279"/>
    <x v="0"/>
    <n v="5"/>
  </r>
  <r>
    <s v="SH0172"/>
    <d v="2025-01-09T00:00:00"/>
    <s v="Takoradi"/>
    <s v="Port Harcourt"/>
    <n v="792"/>
    <x v="1"/>
    <x v="0"/>
    <n v="455937"/>
    <n v="484303"/>
    <x v="1"/>
    <n v="1"/>
  </r>
  <r>
    <s v="SH0173"/>
    <d v="2025-02-12T00:00:00"/>
    <s v="Takoradi"/>
    <s v="Abuja"/>
    <n v="681"/>
    <x v="5"/>
    <x v="0"/>
    <n v="232118"/>
    <n v="276979"/>
    <x v="0"/>
    <n v="7"/>
  </r>
  <r>
    <s v="SH0174"/>
    <d v="2025-01-17T00:00:00"/>
    <s v="Abuja"/>
    <s v="Takoradi"/>
    <n v="816"/>
    <x v="0"/>
    <x v="1"/>
    <n v="262650"/>
    <n v="339487"/>
    <x v="1"/>
    <n v="6"/>
  </r>
  <r>
    <s v="SH0175"/>
    <d v="2025-03-24T00:00:00"/>
    <s v="Abuja"/>
    <s v="Accra"/>
    <n v="772"/>
    <x v="5"/>
    <x v="0"/>
    <n v="526343"/>
    <n v="493093"/>
    <x v="0"/>
    <n v="6"/>
  </r>
  <r>
    <s v="SH0176"/>
    <d v="2025-03-04T00:00:00"/>
    <s v="Nairobi"/>
    <s v="Kumasi"/>
    <n v="842"/>
    <x v="2"/>
    <x v="1"/>
    <n v="261934"/>
    <n v="235561"/>
    <x v="1"/>
    <n v="2"/>
  </r>
  <r>
    <s v="SH0177"/>
    <d v="2025-03-06T00:00:00"/>
    <s v="Accra"/>
    <s v="Lagos"/>
    <n v="258"/>
    <x v="3"/>
    <x v="1"/>
    <n v="255080"/>
    <n v="315760"/>
    <x v="0"/>
    <n v="7"/>
  </r>
  <r>
    <s v="SH0178"/>
    <d v="2025-02-26T00:00:00"/>
    <s v="Lagos"/>
    <s v="Nairobi"/>
    <n v="871"/>
    <x v="2"/>
    <x v="1"/>
    <n v="180872"/>
    <n v="152138"/>
    <x v="0"/>
    <n v="2"/>
  </r>
  <r>
    <s v="SH0179"/>
    <d v="2025-01-30T00:00:00"/>
    <s v="Lagos"/>
    <s v="Kumasi"/>
    <n v="1009"/>
    <x v="2"/>
    <x v="1"/>
    <n v="420127"/>
    <n v="407473"/>
    <x v="1"/>
    <n v="7"/>
  </r>
  <r>
    <s v="SH0180"/>
    <d v="2025-03-01T00:00:00"/>
    <s v="Accra"/>
    <s v="Port Harcourt"/>
    <n v="853"/>
    <x v="1"/>
    <x v="1"/>
    <n v="455628"/>
    <n v="529770"/>
    <x v="1"/>
    <n v="5"/>
  </r>
  <r>
    <s v="SH0181"/>
    <d v="2025-02-02T00:00:00"/>
    <s v="Kumasi"/>
    <s v="Mombasa"/>
    <n v="431"/>
    <x v="1"/>
    <x v="0"/>
    <n v="528286"/>
    <n v="504460"/>
    <x v="0"/>
    <n v="7"/>
  </r>
  <r>
    <s v="SH0182"/>
    <d v="2025-02-06T00:00:00"/>
    <s v="Lagos"/>
    <s v="Nairobi"/>
    <n v="310"/>
    <x v="1"/>
    <x v="0"/>
    <n v="472978"/>
    <n v="533850"/>
    <x v="0"/>
    <n v="5"/>
  </r>
  <r>
    <s v="SH0183"/>
    <d v="2025-01-12T00:00:00"/>
    <s v="Abuja"/>
    <s v="Mombasa"/>
    <n v="1020"/>
    <x v="3"/>
    <x v="0"/>
    <n v="574641"/>
    <n v="591927"/>
    <x v="1"/>
    <n v="2"/>
  </r>
  <r>
    <s v="SH0184"/>
    <d v="2025-01-31T00:00:00"/>
    <s v="Accra"/>
    <s v="Mombasa"/>
    <n v="154"/>
    <x v="1"/>
    <x v="0"/>
    <n v="317525"/>
    <n v="274505"/>
    <x v="1"/>
    <n v="4"/>
  </r>
  <r>
    <s v="SH0185"/>
    <d v="2025-01-19T00:00:00"/>
    <s v="Nairobi"/>
    <s v="Abuja"/>
    <n v="157"/>
    <x v="2"/>
    <x v="1"/>
    <n v="267082"/>
    <n v="339087"/>
    <x v="1"/>
    <n v="1"/>
  </r>
  <r>
    <s v="SH0186"/>
    <d v="2025-03-20T00:00:00"/>
    <s v="Port Harcourt"/>
    <s v="Abuja"/>
    <n v="384"/>
    <x v="2"/>
    <x v="0"/>
    <n v="497851"/>
    <n v="540327"/>
    <x v="1"/>
    <n v="4"/>
  </r>
  <r>
    <s v="SH0187"/>
    <d v="2025-01-15T00:00:00"/>
    <s v="Lagos"/>
    <s v="Abuja"/>
    <n v="541"/>
    <x v="4"/>
    <x v="0"/>
    <n v="537761"/>
    <n v="507358"/>
    <x v="1"/>
    <n v="5"/>
  </r>
  <r>
    <s v="SH0188"/>
    <d v="2025-01-09T00:00:00"/>
    <s v="Kumasi"/>
    <s v="Lagos"/>
    <n v="197"/>
    <x v="2"/>
    <x v="1"/>
    <n v="225010"/>
    <n v="230037"/>
    <x v="1"/>
    <n v="6"/>
  </r>
  <r>
    <s v="SH0189"/>
    <d v="2025-02-07T00:00:00"/>
    <s v="Abuja"/>
    <s v="Mombasa"/>
    <n v="1155"/>
    <x v="1"/>
    <x v="1"/>
    <n v="401490"/>
    <n v="383201"/>
    <x v="0"/>
    <n v="6"/>
  </r>
  <r>
    <s v="SH0190"/>
    <d v="2025-03-09T00:00:00"/>
    <s v="Nairobi"/>
    <s v="Abuja"/>
    <n v="592"/>
    <x v="5"/>
    <x v="0"/>
    <n v="399192"/>
    <n v="403792"/>
    <x v="0"/>
    <n v="2"/>
  </r>
  <r>
    <s v="SH0191"/>
    <d v="2025-02-17T00:00:00"/>
    <s v="Takoradi"/>
    <s v="Abuja"/>
    <n v="899"/>
    <x v="5"/>
    <x v="1"/>
    <n v="557877"/>
    <n v="569498"/>
    <x v="1"/>
    <n v="1"/>
  </r>
  <r>
    <s v="SH0192"/>
    <d v="2025-03-16T00:00:00"/>
    <s v="Kumasi"/>
    <s v="Nairobi"/>
    <n v="238"/>
    <x v="4"/>
    <x v="0"/>
    <n v="280775"/>
    <n v="262379"/>
    <x v="0"/>
    <n v="6"/>
  </r>
  <r>
    <s v="SH0193"/>
    <d v="2025-03-31T00:00:00"/>
    <s v="Takoradi"/>
    <s v="Lagos"/>
    <n v="793"/>
    <x v="4"/>
    <x v="0"/>
    <n v="526512"/>
    <n v="560764"/>
    <x v="1"/>
    <n v="2"/>
  </r>
  <r>
    <s v="SH0194"/>
    <d v="2025-02-07T00:00:00"/>
    <s v="Mombasa"/>
    <s v="Takoradi"/>
    <n v="229"/>
    <x v="3"/>
    <x v="1"/>
    <n v="475413"/>
    <n v="527149"/>
    <x v="0"/>
    <n v="4"/>
  </r>
  <r>
    <s v="SH0195"/>
    <d v="2025-03-11T00:00:00"/>
    <s v="Accra"/>
    <s v="Abuja"/>
    <n v="746"/>
    <x v="3"/>
    <x v="1"/>
    <n v="589355"/>
    <n v="579997"/>
    <x v="1"/>
    <n v="5"/>
  </r>
  <r>
    <s v="SH0196"/>
    <d v="2025-03-25T00:00:00"/>
    <s v="Mombasa"/>
    <s v="Port Harcourt"/>
    <n v="685"/>
    <x v="4"/>
    <x v="1"/>
    <n v="287157"/>
    <n v="350159"/>
    <x v="0"/>
    <n v="7"/>
  </r>
  <r>
    <s v="SH0197"/>
    <d v="2025-02-19T00:00:00"/>
    <s v="Takoradi"/>
    <s v="Port Harcourt"/>
    <n v="994"/>
    <x v="4"/>
    <x v="0"/>
    <n v="566347"/>
    <n v="568778"/>
    <x v="1"/>
    <n v="6"/>
  </r>
  <r>
    <s v="SH0198"/>
    <d v="2025-01-11T00:00:00"/>
    <s v="Takoradi"/>
    <s v="Lagos"/>
    <n v="852"/>
    <x v="1"/>
    <x v="0"/>
    <n v="584604"/>
    <n v="639106"/>
    <x v="1"/>
    <n v="5"/>
  </r>
  <r>
    <s v="SH0199"/>
    <d v="2025-03-26T00:00:00"/>
    <s v="Nairobi"/>
    <s v="Abuja"/>
    <n v="701"/>
    <x v="1"/>
    <x v="1"/>
    <n v="268407"/>
    <n v="231854"/>
    <x v="1"/>
    <n v="1"/>
  </r>
  <r>
    <s v="SH0200"/>
    <d v="2025-01-06T00:00:00"/>
    <s v="Kumasi"/>
    <s v="Port Harcourt"/>
    <n v="441"/>
    <x v="1"/>
    <x v="0"/>
    <n v="461635"/>
    <n v="469818"/>
    <x v="1"/>
    <n v="3"/>
  </r>
  <r>
    <s v="SH0201"/>
    <d v="2025-02-16T00:00:00"/>
    <s v="Takoradi"/>
    <s v="Kumasi"/>
    <n v="217"/>
    <x v="1"/>
    <x v="0"/>
    <n v="139343"/>
    <n v="177316"/>
    <x v="1"/>
    <n v="6"/>
  </r>
  <r>
    <s v="SH0202"/>
    <d v="2025-02-16T00:00:00"/>
    <s v="Port Harcourt"/>
    <s v="Abuja"/>
    <n v="171"/>
    <x v="3"/>
    <x v="0"/>
    <n v="166180"/>
    <n v="124992"/>
    <x v="1"/>
    <n v="2"/>
  </r>
  <r>
    <s v="SH0203"/>
    <d v="2025-01-10T00:00:00"/>
    <s v="Nairobi"/>
    <s v="Kumasi"/>
    <n v="1021"/>
    <x v="4"/>
    <x v="1"/>
    <n v="597456"/>
    <n v="596079"/>
    <x v="1"/>
    <n v="3"/>
  </r>
  <r>
    <s v="SH0204"/>
    <d v="2025-01-04T00:00:00"/>
    <s v="Port Harcourt"/>
    <s v="Takoradi"/>
    <n v="743"/>
    <x v="2"/>
    <x v="0"/>
    <n v="440556"/>
    <n v="427084"/>
    <x v="0"/>
    <n v="2"/>
  </r>
  <r>
    <s v="SH0205"/>
    <d v="2025-01-28T00:00:00"/>
    <s v="Port Harcourt"/>
    <s v="Kumasi"/>
    <n v="341"/>
    <x v="5"/>
    <x v="0"/>
    <n v="237246"/>
    <n v="288822"/>
    <x v="1"/>
    <n v="3"/>
  </r>
  <r>
    <s v="SH0206"/>
    <d v="2025-01-23T00:00:00"/>
    <s v="Kumasi"/>
    <s v="Nairobi"/>
    <n v="351"/>
    <x v="1"/>
    <x v="1"/>
    <n v="171160"/>
    <n v="232941"/>
    <x v="1"/>
    <n v="1"/>
  </r>
  <r>
    <s v="SH0207"/>
    <d v="2025-02-08T00:00:00"/>
    <s v="Mombasa"/>
    <s v="Abuja"/>
    <n v="811"/>
    <x v="0"/>
    <x v="0"/>
    <n v="472003"/>
    <n v="430514"/>
    <x v="1"/>
    <n v="5"/>
  </r>
  <r>
    <s v="SH0208"/>
    <d v="2025-01-18T00:00:00"/>
    <s v="Port Harcourt"/>
    <s v="Nairobi"/>
    <n v="840"/>
    <x v="0"/>
    <x v="1"/>
    <n v="366734"/>
    <n v="346125"/>
    <x v="0"/>
    <n v="1"/>
  </r>
  <r>
    <s v="SH0209"/>
    <d v="2025-03-12T00:00:00"/>
    <s v="Accra"/>
    <s v="Mombasa"/>
    <n v="839"/>
    <x v="1"/>
    <x v="1"/>
    <n v="390466"/>
    <n v="415475"/>
    <x v="1"/>
    <n v="3"/>
  </r>
  <r>
    <s v="SH0210"/>
    <d v="2025-03-09T00:00:00"/>
    <s v="Port Harcourt"/>
    <s v="Takoradi"/>
    <n v="733"/>
    <x v="4"/>
    <x v="1"/>
    <n v="308750"/>
    <n v="352719"/>
    <x v="1"/>
    <n v="6"/>
  </r>
  <r>
    <s v="SH0211"/>
    <d v="2025-03-01T00:00:00"/>
    <s v="Nairobi"/>
    <s v="Mombasa"/>
    <n v="356"/>
    <x v="1"/>
    <x v="1"/>
    <n v="266213"/>
    <n v="300405"/>
    <x v="1"/>
    <n v="1"/>
  </r>
  <r>
    <s v="SH0212"/>
    <d v="2025-01-16T00:00:00"/>
    <s v="Takoradi"/>
    <s v="Lagos"/>
    <n v="364"/>
    <x v="5"/>
    <x v="1"/>
    <n v="326816"/>
    <n v="342727"/>
    <x v="0"/>
    <n v="7"/>
  </r>
  <r>
    <s v="SH0213"/>
    <d v="2025-03-08T00:00:00"/>
    <s v="Port Harcourt"/>
    <s v="Accra"/>
    <n v="760"/>
    <x v="3"/>
    <x v="1"/>
    <n v="590071"/>
    <n v="633044"/>
    <x v="1"/>
    <n v="2"/>
  </r>
  <r>
    <s v="SH0214"/>
    <d v="2025-01-17T00:00:00"/>
    <s v="Kumasi"/>
    <s v="Mombasa"/>
    <n v="502"/>
    <x v="4"/>
    <x v="0"/>
    <n v="432952"/>
    <n v="508302"/>
    <x v="1"/>
    <n v="5"/>
  </r>
  <r>
    <s v="SH0215"/>
    <d v="2025-01-22T00:00:00"/>
    <s v="Kumasi"/>
    <s v="Takoradi"/>
    <n v="1129"/>
    <x v="5"/>
    <x v="1"/>
    <n v="436062"/>
    <n v="408165"/>
    <x v="0"/>
    <n v="5"/>
  </r>
  <r>
    <s v="SH0216"/>
    <d v="2025-03-25T00:00:00"/>
    <s v="Takoradi"/>
    <s v="Mombasa"/>
    <n v="158"/>
    <x v="5"/>
    <x v="1"/>
    <n v="142584"/>
    <n v="98542"/>
    <x v="1"/>
    <n v="6"/>
  </r>
  <r>
    <s v="SH0217"/>
    <d v="2025-03-24T00:00:00"/>
    <s v="Accra"/>
    <s v="Mombasa"/>
    <n v="162"/>
    <x v="5"/>
    <x v="0"/>
    <n v="361115"/>
    <n v="427637"/>
    <x v="1"/>
    <n v="6"/>
  </r>
  <r>
    <s v="SH0218"/>
    <d v="2025-01-21T00:00:00"/>
    <s v="Kumasi"/>
    <s v="Accra"/>
    <n v="709"/>
    <x v="3"/>
    <x v="0"/>
    <n v="337787"/>
    <n v="297351"/>
    <x v="0"/>
    <n v="6"/>
  </r>
  <r>
    <s v="SH0219"/>
    <d v="2025-02-10T00:00:00"/>
    <s v="Mombasa"/>
    <s v="Accra"/>
    <n v="517"/>
    <x v="1"/>
    <x v="0"/>
    <n v="278358"/>
    <n v="307874"/>
    <x v="1"/>
    <n v="2"/>
  </r>
  <r>
    <s v="SH0220"/>
    <d v="2025-03-01T00:00:00"/>
    <s v="Takoradi"/>
    <s v="Accra"/>
    <n v="1154"/>
    <x v="3"/>
    <x v="0"/>
    <n v="394466"/>
    <n v="358383"/>
    <x v="0"/>
    <n v="3"/>
  </r>
  <r>
    <s v="SH0221"/>
    <d v="2025-03-20T00:00:00"/>
    <s v="Abuja"/>
    <s v="Accra"/>
    <n v="388"/>
    <x v="1"/>
    <x v="1"/>
    <n v="150757"/>
    <n v="107389"/>
    <x v="1"/>
    <n v="3"/>
  </r>
  <r>
    <s v="SH0222"/>
    <d v="2025-03-07T00:00:00"/>
    <s v="Nairobi"/>
    <s v="Lagos"/>
    <n v="740"/>
    <x v="3"/>
    <x v="0"/>
    <n v="199527"/>
    <n v="249550"/>
    <x v="1"/>
    <n v="2"/>
  </r>
  <r>
    <s v="SH0223"/>
    <d v="2025-01-31T00:00:00"/>
    <s v="Mombasa"/>
    <s v="Accra"/>
    <n v="147"/>
    <x v="2"/>
    <x v="0"/>
    <n v="147211"/>
    <n v="221104"/>
    <x v="1"/>
    <n v="4"/>
  </r>
  <r>
    <s v="SH0224"/>
    <d v="2025-02-06T00:00:00"/>
    <s v="Accra"/>
    <s v="Takoradi"/>
    <n v="203"/>
    <x v="2"/>
    <x v="1"/>
    <n v="247511"/>
    <n v="262377"/>
    <x v="1"/>
    <n v="5"/>
  </r>
  <r>
    <s v="SH0225"/>
    <d v="2025-02-21T00:00:00"/>
    <s v="Lagos"/>
    <s v="Mombasa"/>
    <n v="374"/>
    <x v="4"/>
    <x v="0"/>
    <n v="562660"/>
    <n v="547324"/>
    <x v="1"/>
    <n v="6"/>
  </r>
  <r>
    <s v="SH0226"/>
    <d v="2025-02-19T00:00:00"/>
    <s v="Takoradi"/>
    <s v="Abuja"/>
    <n v="498"/>
    <x v="1"/>
    <x v="1"/>
    <n v="290066"/>
    <n v="312578"/>
    <x v="0"/>
    <n v="3"/>
  </r>
  <r>
    <s v="SH0227"/>
    <d v="2025-02-17T00:00:00"/>
    <s v="Mombasa"/>
    <s v="Nairobi"/>
    <n v="343"/>
    <x v="5"/>
    <x v="0"/>
    <n v="167456"/>
    <n v="245262"/>
    <x v="1"/>
    <n v="1"/>
  </r>
  <r>
    <s v="SH0228"/>
    <d v="2025-01-06T00:00:00"/>
    <s v="Takoradi"/>
    <s v="Kumasi"/>
    <n v="507"/>
    <x v="2"/>
    <x v="1"/>
    <n v="415864"/>
    <n v="432595"/>
    <x v="0"/>
    <n v="4"/>
  </r>
  <r>
    <s v="SH0229"/>
    <d v="2025-02-11T00:00:00"/>
    <s v="Lagos"/>
    <s v="Port Harcourt"/>
    <n v="1070"/>
    <x v="0"/>
    <x v="0"/>
    <n v="372279"/>
    <n v="382177"/>
    <x v="0"/>
    <n v="2"/>
  </r>
  <r>
    <s v="SH0230"/>
    <d v="2025-04-01T00:00:00"/>
    <s v="Takoradi"/>
    <s v="Lagos"/>
    <n v="788"/>
    <x v="1"/>
    <x v="0"/>
    <n v="365979"/>
    <n v="424544"/>
    <x v="1"/>
    <n v="5"/>
  </r>
  <r>
    <s v="SH0231"/>
    <d v="2025-03-30T00:00:00"/>
    <s v="Kumasi"/>
    <s v="Accra"/>
    <n v="778"/>
    <x v="4"/>
    <x v="0"/>
    <n v="453268"/>
    <n v="417634"/>
    <x v="1"/>
    <n v="4"/>
  </r>
  <r>
    <s v="SH0232"/>
    <d v="2025-01-22T00:00:00"/>
    <s v="Lagos"/>
    <s v="Takoradi"/>
    <n v="566"/>
    <x v="1"/>
    <x v="0"/>
    <n v="478221"/>
    <n v="434952"/>
    <x v="1"/>
    <n v="5"/>
  </r>
  <r>
    <s v="SH0233"/>
    <d v="2025-01-25T00:00:00"/>
    <s v="Nairobi"/>
    <s v="Lagos"/>
    <n v="164"/>
    <x v="0"/>
    <x v="1"/>
    <n v="400191"/>
    <n v="474474"/>
    <x v="0"/>
    <n v="6"/>
  </r>
  <r>
    <s v="SH0234"/>
    <d v="2025-03-06T00:00:00"/>
    <s v="Lagos"/>
    <s v="Kumasi"/>
    <n v="410"/>
    <x v="2"/>
    <x v="0"/>
    <n v="316510"/>
    <n v="357015"/>
    <x v="1"/>
    <n v="2"/>
  </r>
  <r>
    <s v="SH0235"/>
    <d v="2025-03-26T00:00:00"/>
    <s v="Mombasa"/>
    <s v="Nairobi"/>
    <n v="382"/>
    <x v="0"/>
    <x v="1"/>
    <n v="371939"/>
    <n v="349115"/>
    <x v="1"/>
    <n v="5"/>
  </r>
  <r>
    <s v="SH0236"/>
    <d v="2025-03-11T00:00:00"/>
    <s v="Mombasa"/>
    <s v="Kumasi"/>
    <n v="454"/>
    <x v="1"/>
    <x v="0"/>
    <n v="340996"/>
    <n v="410549"/>
    <x v="1"/>
    <n v="5"/>
  </r>
  <r>
    <s v="SH0237"/>
    <d v="2025-03-13T00:00:00"/>
    <s v="Takoradi"/>
    <s v="Nairobi"/>
    <n v="1091"/>
    <x v="0"/>
    <x v="0"/>
    <n v="200801"/>
    <n v="276281"/>
    <x v="1"/>
    <n v="2"/>
  </r>
  <r>
    <s v="SH0238"/>
    <d v="2025-03-03T00:00:00"/>
    <s v="Kumasi"/>
    <s v="Lagos"/>
    <n v="524"/>
    <x v="2"/>
    <x v="0"/>
    <n v="461884"/>
    <n v="504288"/>
    <x v="1"/>
    <n v="4"/>
  </r>
  <r>
    <s v="SH0239"/>
    <d v="2025-02-20T00:00:00"/>
    <s v="Takoradi"/>
    <s v="Kumasi"/>
    <n v="689"/>
    <x v="0"/>
    <x v="0"/>
    <n v="163897"/>
    <n v="189063"/>
    <x v="1"/>
    <n v="6"/>
  </r>
  <r>
    <s v="SH0240"/>
    <d v="2025-02-14T00:00:00"/>
    <s v="Takoradi"/>
    <s v="Mombasa"/>
    <n v="186"/>
    <x v="3"/>
    <x v="0"/>
    <n v="250801"/>
    <n v="326015"/>
    <x v="0"/>
    <n v="6"/>
  </r>
  <r>
    <s v="SH0241"/>
    <d v="2025-03-13T00:00:00"/>
    <s v="Mombasa"/>
    <s v="Takoradi"/>
    <n v="538"/>
    <x v="2"/>
    <x v="0"/>
    <n v="205941"/>
    <n v="264462"/>
    <x v="1"/>
    <n v="5"/>
  </r>
  <r>
    <s v="SH0242"/>
    <d v="2025-03-23T00:00:00"/>
    <s v="Kumasi"/>
    <s v="Lagos"/>
    <n v="596"/>
    <x v="4"/>
    <x v="1"/>
    <n v="126615"/>
    <n v="164411"/>
    <x v="0"/>
    <n v="5"/>
  </r>
  <r>
    <s v="SH0243"/>
    <d v="2025-01-01T00:00:00"/>
    <s v="Accra"/>
    <s v="Abuja"/>
    <n v="776"/>
    <x v="4"/>
    <x v="0"/>
    <n v="476102"/>
    <n v="488020"/>
    <x v="0"/>
    <n v="1"/>
  </r>
  <r>
    <s v="SH0244"/>
    <d v="2025-02-11T00:00:00"/>
    <s v="Port Harcourt"/>
    <s v="Kumasi"/>
    <n v="1077"/>
    <x v="0"/>
    <x v="0"/>
    <n v="441069"/>
    <n v="417212"/>
    <x v="1"/>
    <n v="7"/>
  </r>
  <r>
    <s v="SH0245"/>
    <d v="2025-01-23T00:00:00"/>
    <s v="Kumasi"/>
    <s v="Nairobi"/>
    <n v="575"/>
    <x v="4"/>
    <x v="1"/>
    <n v="380573"/>
    <n v="427394"/>
    <x v="0"/>
    <n v="6"/>
  </r>
  <r>
    <s v="SH0246"/>
    <d v="2025-01-05T00:00:00"/>
    <s v="Nairobi"/>
    <s v="Mombasa"/>
    <n v="913"/>
    <x v="3"/>
    <x v="1"/>
    <n v="513118"/>
    <n v="528048"/>
    <x v="1"/>
    <n v="2"/>
  </r>
  <r>
    <s v="SH0247"/>
    <d v="2025-01-18T00:00:00"/>
    <s v="Lagos"/>
    <s v="Accra"/>
    <n v="786"/>
    <x v="5"/>
    <x v="1"/>
    <n v="249192"/>
    <n v="258744"/>
    <x v="1"/>
    <n v="6"/>
  </r>
  <r>
    <s v="SH0248"/>
    <d v="2025-01-24T00:00:00"/>
    <s v="Mombasa"/>
    <s v="Port Harcourt"/>
    <n v="777"/>
    <x v="3"/>
    <x v="1"/>
    <n v="185193"/>
    <n v="231022"/>
    <x v="1"/>
    <n v="4"/>
  </r>
  <r>
    <s v="SH0249"/>
    <d v="2025-02-24T00:00:00"/>
    <s v="Lagos"/>
    <s v="Nairobi"/>
    <n v="495"/>
    <x v="2"/>
    <x v="0"/>
    <n v="192009"/>
    <n v="222088"/>
    <x v="1"/>
    <n v="7"/>
  </r>
  <r>
    <s v="SH0250"/>
    <d v="2025-01-01T00:00:00"/>
    <s v="Takoradi"/>
    <s v="Abuja"/>
    <n v="478"/>
    <x v="1"/>
    <x v="1"/>
    <n v="173721"/>
    <n v="186301"/>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 cacheId="64"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3">
  <location ref="A8:B14" firstHeaderRow="1" firstDataRow="1" firstDataCol="1"/>
  <pivotFields count="2">
    <pivotField dataField="1" compact="0" outline="0" showAll="0"/>
    <pivotField axis="axisRow" compact="0" allDrilled="1" outline="0" showAll="0" dataSourceSort="1" defaultAttributeDrillState="1">
      <items count="7">
        <item x="0"/>
        <item x="1"/>
        <item x="2"/>
        <item x="3"/>
        <item x="4"/>
        <item x="5"/>
        <item t="default"/>
      </items>
    </pivotField>
  </pivotFields>
  <rowFields count="1">
    <field x="1"/>
  </rowFields>
  <rowItems count="6">
    <i>
      <x/>
    </i>
    <i>
      <x v="1"/>
    </i>
    <i>
      <x v="2"/>
    </i>
    <i>
      <x v="3"/>
    </i>
    <i>
      <x v="4"/>
    </i>
    <i>
      <x v="5"/>
    </i>
  </rowItems>
  <colItems count="1">
    <i/>
  </colItems>
  <dataFields count="1">
    <dataField fld="0" subtotal="count" baseField="0" baseItem="0" numFmtId="168"/>
  </dataFields>
  <formats count="7">
    <format dxfId="91">
      <pivotArea type="all" dataOnly="0" outline="0" fieldPosition="0"/>
    </format>
    <format dxfId="90">
      <pivotArea outline="0" collapsedLevelsAreSubtotals="1" fieldPosition="0"/>
    </format>
    <format dxfId="89">
      <pivotArea dataOnly="0" labelOnly="1" outline="0" fieldPosition="0">
        <references count="1">
          <reference field="4294967294" count="1">
            <x v="0"/>
          </reference>
        </references>
      </pivotArea>
    </format>
    <format dxfId="88">
      <pivotArea outline="0" collapsedLevelsAreSubtotals="1" fieldPosition="0"/>
    </format>
    <format dxfId="87">
      <pivotArea collapsedLevelsAreSubtotals="1" fieldPosition="0">
        <references count="1">
          <reference field="1" count="1">
            <x v="0"/>
          </reference>
        </references>
      </pivotArea>
    </format>
    <format dxfId="86">
      <pivotArea collapsedLevelsAreSubtotals="1" fieldPosition="0">
        <references count="1">
          <reference field="1" count="1">
            <x v="0"/>
          </reference>
        </references>
      </pivotArea>
    </format>
    <format dxfId="85">
      <pivotArea collapsedLevelsAreSubtotals="1" fieldPosition="0">
        <references count="1">
          <reference field="1" count="5">
            <x v="1"/>
            <x v="2"/>
            <x v="3"/>
            <x v="4"/>
            <x v="5"/>
          </reference>
        </references>
      </pivotArea>
    </format>
  </formats>
  <chartFormats count="12">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1"/>
          </reference>
        </references>
      </pivotArea>
    </chartFormat>
    <chartFormat chart="1" format="10">
      <pivotArea type="data" outline="0" fieldPosition="0">
        <references count="2">
          <reference field="4294967294" count="1" selected="0">
            <x v="0"/>
          </reference>
          <reference field="1" count="1" selected="0">
            <x v="2"/>
          </reference>
        </references>
      </pivotArea>
    </chartFormat>
    <chartFormat chart="1" format="11">
      <pivotArea type="data" outline="0" fieldPosition="0">
        <references count="2">
          <reference field="4294967294" count="1" selected="0">
            <x v="0"/>
          </reference>
          <reference field="1" count="1" selected="0">
            <x v="4"/>
          </reference>
        </references>
      </pivotArea>
    </chartFormat>
    <chartFormat chart="1" format="12">
      <pivotArea type="data" outline="0" fieldPosition="0">
        <references count="2">
          <reference field="4294967294" count="1" selected="0">
            <x v="0"/>
          </reference>
          <reference field="1" count="1" selected="0">
            <x v="5"/>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 count="1" selected="0">
            <x v="0"/>
          </reference>
        </references>
      </pivotArea>
    </chartFormat>
    <chartFormat chart="2" format="15">
      <pivotArea type="data" outline="0" fieldPosition="0">
        <references count="2">
          <reference field="4294967294" count="1" selected="0">
            <x v="0"/>
          </reference>
          <reference field="1" count="1" selected="0">
            <x v="1"/>
          </reference>
        </references>
      </pivotArea>
    </chartFormat>
    <chartFormat chart="2" format="16">
      <pivotArea type="data" outline="0" fieldPosition="0">
        <references count="2">
          <reference field="4294967294" count="1" selected="0">
            <x v="0"/>
          </reference>
          <reference field="1" count="1" selected="0">
            <x v="2"/>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2.xml><?xml version="1.0" encoding="utf-8"?>
<pivotTableDefinition xmlns="http://schemas.openxmlformats.org/spreadsheetml/2006/main" name="PivotTable5" cacheId="8"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7">
  <location ref="E21:J23" firstHeaderRow="1" firstDataRow="2" firstDataCol="1"/>
  <pivotFields count="3">
    <pivotField dataField="1" compact="0" outline="0" showAll="0"/>
    <pivotField axis="axisCol" compact="0" allDrilled="1" outline="0" showAll="0" measureFilter="1" dataSourceSort="1" defaultAttributeDrillState="1">
      <items count="7">
        <item x="0"/>
        <item x="1"/>
        <item x="2"/>
        <item x="3"/>
        <item x="4"/>
        <item x="5"/>
        <item t="default"/>
      </items>
    </pivotField>
    <pivotField compact="0" allDrilled="1" outline="0" showAll="0" dataSourceSort="1" defaultAttributeDrillState="1"/>
  </pivotFields>
  <rowItems count="1">
    <i/>
  </rowItems>
  <colFields count="1">
    <field x="1"/>
  </colFields>
  <colItems count="5">
    <i>
      <x/>
    </i>
    <i>
      <x v="1"/>
    </i>
    <i>
      <x v="2"/>
    </i>
    <i>
      <x v="3"/>
    </i>
    <i>
      <x v="4"/>
    </i>
  </colItems>
  <dataFields count="1">
    <dataField fld="0" subtotal="count" baseField="1" baseItem="0" numFmtId="169"/>
  </dataFields>
  <formats count="7">
    <format dxfId="98">
      <pivotArea type="all" dataOnly="0" outline="0" fieldPosition="0"/>
    </format>
    <format dxfId="97">
      <pivotArea outline="0" collapsedLevelsAreSubtotals="1" fieldPosition="0"/>
    </format>
    <format dxfId="96">
      <pivotArea dataOnly="0" labelOnly="1" outline="0" fieldPosition="0">
        <references count="1">
          <reference field="4294967294" count="1">
            <x v="0"/>
          </reference>
        </references>
      </pivotArea>
    </format>
    <format dxfId="95">
      <pivotArea outline="0" fieldPosition="0">
        <references count="1">
          <reference field="4294967294" count="1">
            <x v="0"/>
          </reference>
        </references>
      </pivotArea>
    </format>
    <format dxfId="94">
      <pivotArea outline="0" fieldPosition="0">
        <references count="1">
          <reference field="4294967294" count="1">
            <x v="0"/>
          </reference>
        </references>
      </pivotArea>
    </format>
    <format dxfId="93">
      <pivotArea outline="0" collapsedLevelsAreSubtotals="1" fieldPosition="0"/>
    </format>
    <format dxfId="92">
      <pivotArea outline="0" collapsedLevelsAreSubtotals="1" fieldPosition="0"/>
    </format>
  </formats>
  <chartFormats count="17">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 chart="2" format="15" series="1">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2">
          <reference field="4294967294" count="1" selected="0">
            <x v="0"/>
          </reference>
          <reference field="1" count="1" selected="0">
            <x v="3"/>
          </reference>
        </references>
      </pivotArea>
    </chartFormat>
    <chartFormat chart="3" format="9" series="1">
      <pivotArea type="data" outline="0" fieldPosition="0">
        <references count="2">
          <reference field="4294967294" count="1" selected="0">
            <x v="0"/>
          </reference>
          <reference field="1" count="1" selected="0">
            <x v="4"/>
          </reference>
        </references>
      </pivotArea>
    </chartFormat>
    <chartFormat chart="6" format="15" series="1">
      <pivotArea type="data" outline="0" fieldPosition="0">
        <references count="2">
          <reference field="4294967294" count="1" selected="0">
            <x v="0"/>
          </reference>
          <reference field="1" count="1" selected="0">
            <x v="0"/>
          </reference>
        </references>
      </pivotArea>
    </chartFormat>
    <chartFormat chart="6" format="16" series="1">
      <pivotArea type="data" outline="0" fieldPosition="0">
        <references count="2">
          <reference field="4294967294" count="1" selected="0">
            <x v="0"/>
          </reference>
          <reference field="1" count="1" selected="0">
            <x v="1"/>
          </reference>
        </references>
      </pivotArea>
    </chartFormat>
    <chartFormat chart="6" format="17" series="1">
      <pivotArea type="data" outline="0" fieldPosition="0">
        <references count="2">
          <reference field="4294967294" count="1" selected="0">
            <x v="0"/>
          </reference>
          <reference field="1" count="1" selected="0">
            <x v="2"/>
          </reference>
        </references>
      </pivotArea>
    </chartFormat>
    <chartFormat chart="6" format="18" series="1">
      <pivotArea type="data" outline="0" fieldPosition="0">
        <references count="2">
          <reference field="4294967294" count="1" selected="0">
            <x v="0"/>
          </reference>
          <reference field="1" count="1" selected="0">
            <x v="3"/>
          </reference>
        </references>
      </pivotArea>
    </chartFormat>
    <chartFormat chart="6" format="19" series="1">
      <pivotArea type="data" outline="0" fieldPosition="0">
        <references count="2">
          <reference field="4294967294" count="1" selected="0">
            <x v="0"/>
          </reference>
          <reference field="1" count="1" selected="0">
            <x v="4"/>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7">
      <autoFilter ref="A1">
        <filterColumn colId="0">
          <top10 val="5" filterVal="5"/>
        </filterColumn>
      </autoFilter>
    </filter>
  </filters>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3.xml><?xml version="1.0" encoding="utf-8"?>
<pivotTableDefinition xmlns="http://schemas.openxmlformats.org/spreadsheetml/2006/main" name="PivotTable10" cacheId="4"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6">
  <location ref="C45:D46" firstHeaderRow="0" firstDataRow="1" firstDataCol="0"/>
  <pivotFields count="3">
    <pivotField dataField="1" compact="0" outline="0" showAll="0"/>
    <pivotField dataField="1" compact="0" outline="0" showAll="0"/>
    <pivotField compact="0" allDrilled="1" outline="0" showAll="0" dataSourceSort="1"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2">
    <format dxfId="100">
      <pivotArea type="all" dataOnly="0" outline="0" fieldPosition="0"/>
    </format>
    <format dxfId="99">
      <pivotArea outline="0" collapsedLevelsAreSubtotals="1" fieldPosition="0"/>
    </format>
  </formats>
  <chartFormats count="18">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1"/>
          </reference>
        </references>
      </pivotArea>
    </chartFormat>
    <chartFormat chart="5" format="13">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4.xml><?xml version="1.0" encoding="utf-8"?>
<pivotTableDefinition xmlns="http://schemas.openxmlformats.org/spreadsheetml/2006/main" name="PivotTable12"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A49:B51" firstHeaderRow="1" firstDataRow="1" firstDataCol="1"/>
  <pivotFields count="12">
    <pivotField compact="0"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numFmtId="165" outline="0" showAll="0"/>
    <pivotField compact="0" numFmtId="165" outline="0" showAll="0"/>
    <pivotField compact="0" outline="0" showAll="0"/>
    <pivotField compact="0" numFmtId="1" outline="0" showAll="0"/>
    <pivotField dataField="1" compact="0" outline="0" dragToRow="0" dragToCol="0" dragToPage="0" showAll="0" defaultSubtotal="0"/>
  </pivotFields>
  <rowFields count="1">
    <field x="6"/>
  </rowFields>
  <rowItems count="2">
    <i>
      <x/>
    </i>
    <i>
      <x v="1"/>
    </i>
  </rowItems>
  <colItems count="1">
    <i/>
  </colItems>
  <dataFields count="1">
    <dataField name="Sum of Cost per KM" fld="11" baseField="0" baseItem="0"/>
  </dataFields>
  <formats count="11">
    <format dxfId="74">
      <pivotArea outline="0" collapsedLevelsAreSubtotals="1" fieldPosition="0"/>
    </format>
    <format dxfId="75">
      <pivotArea type="all" dataOnly="0" outline="0" fieldPosition="0"/>
    </format>
    <format dxfId="76">
      <pivotArea outline="0" collapsedLevelsAreSubtotals="1" fieldPosition="0"/>
    </format>
    <format dxfId="77">
      <pivotArea field="6" type="button" dataOnly="0" labelOnly="1" outline="0" axis="axisRow" fieldPosition="0"/>
    </format>
    <format dxfId="78">
      <pivotArea dataOnly="0" labelOnly="1" outline="0" axis="axisValues" fieldPosition="0"/>
    </format>
    <format dxfId="79">
      <pivotArea dataOnly="0" labelOnly="1" outline="0" fieldPosition="0">
        <references count="1">
          <reference field="6" count="0"/>
        </references>
      </pivotArea>
    </format>
    <format dxfId="80">
      <pivotArea dataOnly="0" labelOnly="1" outline="0" axis="axisValues" fieldPosition="0"/>
    </format>
    <format dxfId="81">
      <pivotArea outline="0" collapsedLevelsAreSubtotals="1" fieldPosition="0"/>
    </format>
    <format dxfId="82">
      <pivotArea outline="0" collapsedLevelsAreSubtotals="1" fieldPosition="0"/>
    </format>
    <format dxfId="83">
      <pivotArea outline="0" collapsedLevelsAreSubtotals="1" fieldPosition="0"/>
    </format>
    <format dxfId="84">
      <pivotArea outline="0" collapsedLevelsAreSubtotals="1" fieldPosition="0"/>
    </format>
  </formats>
  <chartFormats count="3">
    <chartFormat chart="3" format="8"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9"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outline="1" outlineData="1" multipleFieldFilters="0" chartFormat="3">
  <location ref="C42:D43"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0" baseItem="0" numFmtId="169"/>
    <dataField name="Max of Distance_KM" fld="1" subtotal="max" baseField="0" baseItem="1"/>
  </dataFields>
  <formats count="3">
    <format dxfId="103">
      <pivotArea type="all" dataOnly="0" outline="0" fieldPosition="0"/>
    </format>
    <format dxfId="102">
      <pivotArea outline="0" collapsedLevelsAreSubtotals="1" fieldPosition="0"/>
    </format>
    <format dxfId="101">
      <pivotArea outline="0" collapsedLevelsAreSubtotals="1" fieldPosition="0">
        <references count="1">
          <reference field="4294967294" count="1" selected="0">
            <x v="0"/>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6.xml><?xml version="1.0" encoding="utf-8"?>
<pivotTableDefinition xmlns="http://schemas.openxmlformats.org/spreadsheetml/2006/main" name="PivotTable6" cacheId="10"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6">
  <location ref="A30:B32" firstHeaderRow="1" firstDataRow="1" firstDataCol="1"/>
  <pivotFields count="2">
    <pivotField axis="axisRow" compact="0" allDrilled="1" outline="0" showAll="0" defaultAttributeDrillState="1">
      <items count="3">
        <item x="0"/>
        <item x="1"/>
        <item t="default"/>
      </items>
    </pivotField>
    <pivotField dataField="1" compact="0" outline="0" showAll="0"/>
  </pivotFields>
  <rowFields count="1">
    <field x="0"/>
  </rowFields>
  <rowItems count="2">
    <i>
      <x/>
    </i>
    <i>
      <x v="1"/>
    </i>
  </rowItems>
  <colItems count="1">
    <i/>
  </colItems>
  <dataFields count="1">
    <dataField name="Count of Shipment_ID" fld="1" subtotal="count" showDataAs="percentOfTotal" baseField="0" baseItem="0" numFmtId="10"/>
  </dataFields>
  <formats count="10">
    <format dxfId="113">
      <pivotArea type="all" dataOnly="0" outline="0" fieldPosition="0"/>
    </format>
    <format dxfId="112">
      <pivotArea outline="0" collapsedLevelsAreSubtotals="1" fieldPosition="0"/>
    </format>
    <format dxfId="111">
      <pivotArea outline="0" collapsedLevelsAreSubtotals="1" fieldPosition="0">
        <references count="1">
          <reference field="0" count="1" selected="0">
            <x v="0"/>
          </reference>
        </references>
      </pivotArea>
    </format>
    <format dxfId="110">
      <pivotArea outline="0" collapsedLevelsAreSubtotals="1" fieldPosition="0">
        <references count="1">
          <reference field="0" count="1" selected="0">
            <x v="0"/>
          </reference>
        </references>
      </pivotArea>
    </format>
    <format dxfId="109">
      <pivotArea outline="0" collapsedLevelsAreSubtotals="1" fieldPosition="0">
        <references count="1">
          <reference field="0" count="1" selected="0">
            <x v="1"/>
          </reference>
        </references>
      </pivotArea>
    </format>
    <format dxfId="108">
      <pivotArea outline="0" fieldPosition="0">
        <references count="1">
          <reference field="4294967294" count="1">
            <x v="0"/>
          </reference>
        </references>
      </pivotArea>
    </format>
    <format dxfId="107">
      <pivotArea outline="0" collapsedLevelsAreSubtotals="1" fieldPosition="0">
        <references count="1">
          <reference field="0" count="1" selected="0">
            <x v="0"/>
          </reference>
        </references>
      </pivotArea>
    </format>
    <format dxfId="106">
      <pivotArea outline="0" collapsedLevelsAreSubtotals="1" fieldPosition="0">
        <references count="1">
          <reference field="0" count="1" selected="0">
            <x v="0"/>
          </reference>
        </references>
      </pivotArea>
    </format>
    <format dxfId="105">
      <pivotArea outline="0" collapsedLevelsAreSubtotals="1" fieldPosition="0">
        <references count="1">
          <reference field="0" count="1" selected="0">
            <x v="1"/>
          </reference>
        </references>
      </pivotArea>
    </format>
    <format dxfId="104">
      <pivotArea outline="0" collapsedLevelsAreSubtotals="1" fieldPosition="0">
        <references count="1">
          <reference field="0" count="1" selected="0">
            <x v="1"/>
          </reference>
        </references>
      </pivotArea>
    </format>
  </formats>
  <chartFormats count="1">
    <chartFormat chart="5" format="1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7.xml><?xml version="1.0" encoding="utf-8"?>
<pivotTableDefinition xmlns="http://schemas.openxmlformats.org/spreadsheetml/2006/main" name="PivotTable7" cacheId="5"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outline="1" outlineData="1" multipleFieldFilters="0" chartFormat="3">
  <location ref="C36:D37"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1" baseItem="0" numFmtId="169"/>
    <dataField fld="1" subtotal="count" baseField="0" baseItem="0" numFmtId="169"/>
  </dataFields>
  <formats count="9">
    <format dxfId="122">
      <pivotArea type="all" dataOnly="0" outline="0" fieldPosition="0"/>
    </format>
    <format dxfId="121">
      <pivotArea outline="0" collapsedLevelsAreSubtotals="1" fieldPosition="0"/>
    </format>
    <format dxfId="120">
      <pivotArea dataOnly="0" labelOnly="1" outline="0" fieldPosition="0">
        <references count="1">
          <reference field="4294967294" count="1">
            <x v="0"/>
          </reference>
        </references>
      </pivotArea>
    </format>
    <format dxfId="119">
      <pivotArea outline="0" fieldPosition="0">
        <references count="1">
          <reference field="4294967294" count="1">
            <x v="0"/>
          </reference>
        </references>
      </pivotArea>
    </format>
    <format dxfId="118">
      <pivotArea outline="0" fieldPosition="0">
        <references count="1">
          <reference field="4294967294" count="1">
            <x v="0"/>
          </reference>
        </references>
      </pivotArea>
    </format>
    <format dxfId="117">
      <pivotArea outline="0" collapsedLevelsAreSubtotals="1" fieldPosition="0">
        <references count="1">
          <reference field="4294967294" count="1" selected="0">
            <x v="1"/>
          </reference>
        </references>
      </pivotArea>
    </format>
    <format dxfId="116">
      <pivotArea outline="0" collapsedLevelsAreSubtotals="1" fieldPosition="0">
        <references count="1">
          <reference field="4294967294" count="1" selected="0">
            <x v="0"/>
          </reference>
        </references>
      </pivotArea>
    </format>
    <format dxfId="115">
      <pivotArea outline="0" collapsedLevelsAreSubtotals="1" fieldPosition="0">
        <references count="1">
          <reference field="4294967294" count="1" selected="0">
            <x v="1"/>
          </reference>
        </references>
      </pivotArea>
    </format>
    <format dxfId="114">
      <pivotArea outline="0" collapsedLevelsAreSubtotals="1" fieldPosition="0">
        <references count="1">
          <reference field="4294967294" count="1" selected="0">
            <x v="0"/>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7">
  <location ref="A21:B23" firstHeaderRow="1" firstDataRow="1" firstDataCol="1"/>
  <pivotFields count="3">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2">
    <i>
      <x/>
    </i>
    <i>
      <x v="1"/>
    </i>
  </rowItems>
  <colItems count="1">
    <i/>
  </colItems>
  <dataFields count="1">
    <dataField fld="0" subtotal="count" showDataAs="percentOfTotal" baseField="1" baseItem="0" numFmtId="10"/>
  </dataFields>
  <formats count="4">
    <format dxfId="67">
      <pivotArea type="all" dataOnly="0" outline="0" fieldPosition="0"/>
    </format>
    <format dxfId="68">
      <pivotArea outline="0" collapsedLevelsAreSubtotals="1" fieldPosition="0"/>
    </format>
    <format dxfId="69">
      <pivotArea dataOnly="0" labelOnly="1" outline="0" fieldPosition="0">
        <references count="1">
          <reference field="4294967294" count="1">
            <x v="0"/>
          </reference>
        </references>
      </pivotArea>
    </format>
    <format dxfId="70">
      <pivotArea outline="0" fieldPosition="0">
        <references count="1">
          <reference field="4294967294" count="1">
            <x v="0"/>
          </reference>
        </references>
      </pivotArea>
    </format>
  </formats>
  <chartFormats count="3">
    <chartFormat chart="2" format="6"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9.xml><?xml version="1.0" encoding="utf-8"?>
<pivotTableDefinition xmlns="http://schemas.openxmlformats.org/spreadsheetml/2006/main" name="PivotTable2" cacheId="6" applyNumberFormats="0" applyBorderFormats="0" applyFontFormats="0" applyPatternFormats="0" applyAlignmentFormats="0" applyWidthHeightFormats="1" dataCaption="Values" tag="a8f7d0f9-88e3-4adf-9ccc-8efe761be67b" updatedVersion="6" minRefreshableVersion="3" useAutoFormatting="1" subtotalHiddenItems="1" itemPrintTitles="1" createdVersion="6" indent="0" outline="1" outlineData="1" multipleFieldFilters="0">
  <location ref="A3:G4" firstHeaderRow="0" firstDataRow="1" firstDataCol="0"/>
  <pivotFields count="8">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9"/>
    <dataField fld="1" subtotal="count" baseField="0" baseItem="0" numFmtId="169"/>
    <dataField fld="2" subtotal="count" baseField="0" baseItem="0" numFmtId="169"/>
    <dataField fld="3" subtotal="count" baseField="0" baseItem="0"/>
    <dataField fld="4" subtotal="count" baseField="0" baseItem="0"/>
    <dataField fld="5" subtotal="count" baseField="0" baseItem="0"/>
    <dataField fld="6" subtotal="count" baseField="0" baseItem="0"/>
  </dataFields>
  <formats count="5">
    <format dxfId="127">
      <pivotArea type="all" dataOnly="0" outline="0" fieldPosition="0"/>
    </format>
    <format dxfId="126">
      <pivotArea outline="0" collapsedLevelsAreSubtotals="1" fieldPosition="0"/>
    </format>
    <format dxfId="125">
      <pivotArea dataOnly="0" labelOnly="1" outline="0" fieldPosition="0">
        <references count="1">
          <reference field="4294967294" count="7">
            <x v="0"/>
            <x v="1"/>
            <x v="2"/>
            <x v="3"/>
            <x v="4"/>
            <x v="5"/>
            <x v="6"/>
          </reference>
        </references>
      </pivotArea>
    </format>
    <format dxfId="124">
      <pivotArea outline="0" collapsedLevelsAreSubtotals="1" fieldPosition="0">
        <references count="1">
          <reference field="4294967294" count="3" selected="0">
            <x v="0"/>
            <x v="1"/>
            <x v="2"/>
          </reference>
        </references>
      </pivotArea>
    </format>
    <format dxfId="123">
      <pivotArea outline="0" collapsedLevelsAreSubtotals="1" fieldPosition="0">
        <references count="1">
          <reference field="4294967294" count="3" selected="0">
            <x v="0"/>
            <x v="1"/>
            <x v="2"/>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10.xml><?xml version="1.0" encoding="utf-8"?>
<pivotTableDefinition xmlns="http://schemas.openxmlformats.org/spreadsheetml/2006/main" name="PivotTable8" cacheId="2"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outline="1" outlineData="1" multipleFieldFilters="0" chartFormat="3">
  <location ref="C39:D40"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1" subtotal="count" baseField="0" baseItem="0" numFmtId="169"/>
    <dataField fld="0" subtotal="count" baseField="1" baseItem="0" numFmtId="169"/>
  </dataFields>
  <formats count="8">
    <format dxfId="135">
      <pivotArea type="all" dataOnly="0" outline="0" fieldPosition="0"/>
    </format>
    <format dxfId="134">
      <pivotArea outline="0" collapsedLevelsAreSubtotals="1" fieldPosition="0"/>
    </format>
    <format dxfId="133">
      <pivotArea dataOnly="0" labelOnly="1" outline="0" fieldPosition="0">
        <references count="1">
          <reference field="4294967294" count="1">
            <x v="1"/>
          </reference>
        </references>
      </pivotArea>
    </format>
    <format dxfId="132">
      <pivotArea outline="0" fieldPosition="0">
        <references count="1">
          <reference field="4294967294" count="1">
            <x v="1"/>
          </reference>
        </references>
      </pivotArea>
    </format>
    <format dxfId="131">
      <pivotArea outline="0" fieldPosition="0">
        <references count="1">
          <reference field="4294967294" count="1">
            <x v="1"/>
          </reference>
        </references>
      </pivotArea>
    </format>
    <format dxfId="130">
      <pivotArea outline="0" collapsedLevelsAreSubtotals="1" fieldPosition="0"/>
    </format>
    <format dxfId="129">
      <pivotArea outline="0" collapsedLevelsAreSubtotals="1" fieldPosition="0">
        <references count="1">
          <reference field="4294967294" count="1" selected="0">
            <x v="1"/>
          </reference>
        </references>
      </pivotArea>
    </format>
    <format dxfId="128">
      <pivotArea outline="0" collapsedLevelsAreSubtotals="1" fieldPosition="0">
        <references count="1">
          <reference field="4294967294" count="1" selected="0">
            <x v="0"/>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11.xml><?xml version="1.0" encoding="utf-8"?>
<pivotTableDefinition xmlns="http://schemas.openxmlformats.org/spreadsheetml/2006/main" name="PivotTable3" cacheId="50"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7">
  <location ref="E8:G13" firstHeaderRow="0" firstDataRow="1" firstDataCol="1"/>
  <pivotFields count="4">
    <pivotField dataField="1" compact="0" outline="0" showAll="0"/>
    <pivotField dataField="1" compact="0" outline="0" showAll="0"/>
    <pivotField axis="axisRow" compact="0" allDrilled="1" outline="0" showAll="0" measureFilter="1" dataSourceSort="1" defaultAttributeDrillState="1">
      <items count="6">
        <item x="0"/>
        <item x="1"/>
        <item x="2"/>
        <item x="3"/>
        <item x="4"/>
        <item t="default"/>
      </items>
    </pivotField>
    <pivotField compact="0" allDrilled="1" outline="0" showAll="0" dataSourceSort="1" defaultAttributeDrillState="1"/>
  </pivotFields>
  <rowFields count="1">
    <field x="2"/>
  </rowFields>
  <rowItems count="5">
    <i>
      <x/>
    </i>
    <i>
      <x v="1"/>
    </i>
    <i>
      <x v="2"/>
    </i>
    <i>
      <x v="3"/>
    </i>
    <i>
      <x v="4"/>
    </i>
  </rowItems>
  <colFields count="1">
    <field x="-2"/>
  </colFields>
  <colItems count="2">
    <i>
      <x/>
    </i>
    <i i="1">
      <x v="1"/>
    </i>
  </colItems>
  <dataFields count="2">
    <dataField name="Sum of Actual_Cost" fld="0" baseField="0" baseItem="0"/>
    <dataField name="Sum of Planned_Cost" fld="1" baseField="0" baseItem="0"/>
  </dataFields>
  <formats count="4">
    <format dxfId="139">
      <pivotArea type="all" dataOnly="0" outline="0"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s>
  <chartFormats count="2">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arrier].&amp;[UPS]"/>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rrier" sourceName="[Table1].[Carrier]">
  <pivotTables>
    <pivotTable tabId="4" name="PivotTable3"/>
  </pivotTables>
  <data>
    <olap pivotCacheId="7">
      <levels count="2">
        <level uniqueName="[Table1].[Carrier].[(All)]" sourceCaption="(All)" count="0"/>
        <level uniqueName="[Table1].[Carrier].[Carrier]" sourceCaption="Carrier" count="6">
          <ranges>
            <range startItem="0">
              <i n="[Table1].[Carrier].&amp;[Aramex]" c="Aramex"/>
              <i n="[Table1].[Carrier].&amp;[DHL]" c="DHL"/>
              <i n="[Table1].[Carrier].&amp;[FedEx]" c="FedEx"/>
              <i n="[Table1].[Carrier].&amp;[GIG Logistics]" c="GIG Logistics"/>
              <i n="[Table1].[Carrier].&amp;[TransLink]" c="TransLink"/>
              <i n="[Table1].[Carrier].&amp;[UPS]" c="UPS"/>
            </range>
          </ranges>
        </level>
      </levels>
      <selections count="1">
        <selection n="[Table1].[Carrier].&amp;[UP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stination" sourceName="[Table1].[Destination]">
  <pivotTables>
    <pivotTable tabId="4" name="PivotTable2"/>
    <pivotTable tabId="4" name="PivotTable1"/>
    <pivotTable tabId="4" name="PivotTable10"/>
    <pivotTable tabId="4" name="PivotTable4"/>
    <pivotTable tabId="4" name="PivotTable5"/>
    <pivotTable tabId="4" name="PivotTable6"/>
    <pivotTable tabId="4" name="PivotTable7"/>
    <pivotTable tabId="4" name="PivotTable8"/>
    <pivotTable tabId="4" name="PivotTable9"/>
  </pivotTables>
  <data>
    <olap pivotCacheId="6">
      <levels count="2">
        <level uniqueName="[Table1].[Destination].[(All)]" sourceCaption="(All)" count="0"/>
        <level uniqueName="[Table1].[Destination].[Destination]" sourceCaption="Destination" count="8">
          <ranges>
            <range startItem="0">
              <i n="[Table1].[Destination].&amp;[Abuja]" c="Abuja"/>
              <i n="[Table1].[Destination].&amp;[Accra]" c="Accra"/>
              <i n="[Table1].[Destination].&amp;[Kumasi]" c="Kumasi"/>
              <i n="[Table1].[Destination].&amp;[Lagos]" c="Lagos"/>
              <i n="[Table1].[Destination].&amp;[Mombasa]" c="Mombasa"/>
              <i n="[Table1].[Destination].&amp;[Nairobi]" c="Nairobi"/>
              <i n="[Table1].[Destination].&amp;[Port Harcourt]" c="Port Harcourt"/>
              <i n="[Table1].[Destination].&amp;[Takoradi]" c="Takoradi"/>
            </range>
          </ranges>
        </level>
      </levels>
      <selections count="1">
        <selection n="[Table1].[Destination].[All]"/>
      </selections>
    </olap>
  </data>
  <extLst>
    <x:ext xmlns:x15="http://schemas.microsoft.com/office/spreadsheetml/2010/11/main" uri="{470722E0-AACD-4C17-9CDC-17EF765DBC7E}">
      <x15:slicerCacheHideItemsWithNoData count="1">
        <x15:slicerCacheOlapLevelName uniqueName="[Table1].[Destination].[Destinat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rrier" cache="Slicer_Carrier" caption="Carrier" columnCount="6" showCaption="0" level="1" style="Slicer Style 4" rowHeight="182880"/>
  <slicer name="Destination" cache="Slicer_Destination" caption="Destination" columnCount="8" showCaption="0" level="1" style="SlicerStyleDark1 2 2" rowHeight="365760"/>
</slicers>
</file>

<file path=xl/tables/table1.xml><?xml version="1.0" encoding="utf-8"?>
<table xmlns="http://schemas.openxmlformats.org/spreadsheetml/2006/main" id="1" name="Table1" displayName="Table1" ref="A1:K251" totalsRowShown="0" headerRowDxfId="154" headerRowBorderDxfId="153" tableBorderDxfId="152">
  <autoFilter ref="A1:K2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Shipment_ID"/>
    <tableColumn id="2" name="Date" dataDxfId="151"/>
    <tableColumn id="3" name="Origin"/>
    <tableColumn id="4" name="Destination"/>
    <tableColumn id="5" name="Distance_KM"/>
    <tableColumn id="6" name="Carrier"/>
    <tableColumn id="7" name="Mode"/>
    <tableColumn id="8" name="Planned_Cost" dataDxfId="150" dataCellStyle="Comma"/>
    <tableColumn id="9" name="Actual_Cost" dataDxfId="149" dataCellStyle="Comma"/>
    <tableColumn id="10" name="Delivery_Status"/>
    <tableColumn id="11" name="Delivery_Days" dataDxfId="148"/>
  </tableColumns>
  <tableStyleInfo name="TableStyleLight16" showFirstColumn="1" showLastColumn="0" showRowStripes="1" showColumnStripes="0"/>
</table>
</file>

<file path=xl/tables/table2.xml><?xml version="1.0" encoding="utf-8"?>
<table xmlns="http://schemas.openxmlformats.org/spreadsheetml/2006/main" id="2" name="Table2" displayName="Table2" ref="A1:F251" totalsRowShown="0" headerRowDxfId="147" headerRowBorderDxfId="146" tableBorderDxfId="145">
  <autoFilter ref="A1:F251">
    <filterColumn colId="0" hiddenButton="1"/>
    <filterColumn colId="1" hiddenButton="1"/>
    <filterColumn colId="2" hiddenButton="1"/>
    <filterColumn colId="3" hiddenButton="1"/>
    <filterColumn colId="4" hiddenButton="1"/>
    <filterColumn colId="5" hiddenButton="1"/>
  </autoFilter>
  <tableColumns count="6">
    <tableColumn id="1" name="Shipment_ID"/>
    <tableColumn id="2" name="Fuel_Cost" dataDxfId="144" dataCellStyle="Comma"/>
    <tableColumn id="3" name="Toll_Fees" dataDxfId="143" dataCellStyle="Comma"/>
    <tableColumn id="4" name="Labor_Cost" dataDxfId="142" dataCellStyle="Comma"/>
    <tableColumn id="5" name="Maintenance_Cost" dataDxfId="141" dataCellStyle="Comma"/>
    <tableColumn id="6" name="Other_Costs" dataDxfId="140" dataCellStyle="Comma"/>
  </tableColumns>
  <tableStyleInfo name="TableStyleLight1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1"/>
  <sheetViews>
    <sheetView zoomScaleNormal="100" zoomScaleSheetLayoutView="100" workbookViewId="0"/>
  </sheetViews>
  <sheetFormatPr defaultRowHeight="15" x14ac:dyDescent="0.25"/>
  <cols>
    <col min="1" max="1" width="14.5703125" customWidth="1"/>
    <col min="2" max="2" width="18.28515625" style="1" bestFit="1" customWidth="1"/>
    <col min="3" max="3" width="12.7109375" bestFit="1" customWidth="1"/>
    <col min="4" max="4" width="13.42578125" customWidth="1"/>
    <col min="5" max="5" width="14.7109375" customWidth="1"/>
    <col min="6" max="6" width="12" bestFit="1" customWidth="1"/>
    <col min="7" max="7" width="8.42578125" customWidth="1"/>
    <col min="8" max="9" width="15.28515625" style="6" customWidth="1"/>
    <col min="10" max="10" width="17" customWidth="1"/>
    <col min="11" max="11" width="15.7109375" style="8" customWidth="1"/>
  </cols>
  <sheetData>
    <row r="1" spans="1:11" x14ac:dyDescent="0.25">
      <c r="A1" s="2" t="s">
        <v>0</v>
      </c>
      <c r="B1" s="3" t="s">
        <v>1</v>
      </c>
      <c r="C1" s="2" t="s">
        <v>2</v>
      </c>
      <c r="D1" s="2" t="s">
        <v>3</v>
      </c>
      <c r="E1" s="4" t="s">
        <v>4</v>
      </c>
      <c r="F1" s="2" t="s">
        <v>5</v>
      </c>
      <c r="G1" s="2" t="s">
        <v>6</v>
      </c>
      <c r="H1" s="5" t="s">
        <v>7</v>
      </c>
      <c r="I1" s="5" t="s">
        <v>8</v>
      </c>
      <c r="J1" s="2" t="s">
        <v>9</v>
      </c>
      <c r="K1" s="7" t="s">
        <v>10</v>
      </c>
    </row>
    <row r="2" spans="1:11" x14ac:dyDescent="0.25">
      <c r="A2" t="s">
        <v>11</v>
      </c>
      <c r="B2" s="1">
        <v>45744</v>
      </c>
      <c r="C2" t="s">
        <v>12</v>
      </c>
      <c r="D2" t="s">
        <v>13</v>
      </c>
      <c r="E2">
        <v>601</v>
      </c>
      <c r="F2" t="s">
        <v>14</v>
      </c>
      <c r="G2" t="s">
        <v>15</v>
      </c>
      <c r="H2" s="6">
        <v>217026</v>
      </c>
      <c r="I2" s="6">
        <v>185315</v>
      </c>
      <c r="J2" t="s">
        <v>16</v>
      </c>
      <c r="K2" s="8">
        <v>6</v>
      </c>
    </row>
    <row r="3" spans="1:11" x14ac:dyDescent="0.25">
      <c r="A3" t="s">
        <v>17</v>
      </c>
      <c r="B3" s="1">
        <v>45729</v>
      </c>
      <c r="C3" t="s">
        <v>12</v>
      </c>
      <c r="D3" t="s">
        <v>18</v>
      </c>
      <c r="E3">
        <v>161</v>
      </c>
      <c r="F3" t="s">
        <v>19</v>
      </c>
      <c r="G3" t="s">
        <v>20</v>
      </c>
      <c r="H3" s="6">
        <v>149123</v>
      </c>
      <c r="I3" s="6">
        <v>127780</v>
      </c>
      <c r="J3" t="s">
        <v>16</v>
      </c>
      <c r="K3" s="8">
        <v>2</v>
      </c>
    </row>
    <row r="4" spans="1:11" x14ac:dyDescent="0.25">
      <c r="A4" t="s">
        <v>21</v>
      </c>
      <c r="B4" s="1">
        <v>45678</v>
      </c>
      <c r="C4" t="s">
        <v>22</v>
      </c>
      <c r="D4" t="s">
        <v>23</v>
      </c>
      <c r="E4">
        <v>551</v>
      </c>
      <c r="F4" t="s">
        <v>14</v>
      </c>
      <c r="G4" t="s">
        <v>15</v>
      </c>
      <c r="H4" s="6">
        <v>335514</v>
      </c>
      <c r="I4" s="6">
        <v>362750</v>
      </c>
      <c r="J4" t="s">
        <v>16</v>
      </c>
      <c r="K4" s="8">
        <v>3</v>
      </c>
    </row>
    <row r="5" spans="1:11" x14ac:dyDescent="0.25">
      <c r="A5" t="s">
        <v>24</v>
      </c>
      <c r="B5" s="1">
        <v>45706</v>
      </c>
      <c r="C5" t="s">
        <v>23</v>
      </c>
      <c r="D5" t="s">
        <v>25</v>
      </c>
      <c r="E5">
        <v>540</v>
      </c>
      <c r="F5" t="s">
        <v>26</v>
      </c>
      <c r="G5" t="s">
        <v>20</v>
      </c>
      <c r="H5" s="6">
        <v>500290</v>
      </c>
      <c r="I5" s="6">
        <v>494408</v>
      </c>
      <c r="J5" t="s">
        <v>16</v>
      </c>
      <c r="K5" s="8">
        <v>1</v>
      </c>
    </row>
    <row r="6" spans="1:11" x14ac:dyDescent="0.25">
      <c r="A6" t="s">
        <v>27</v>
      </c>
      <c r="B6" s="1">
        <v>45706</v>
      </c>
      <c r="C6" t="s">
        <v>12</v>
      </c>
      <c r="D6" t="s">
        <v>22</v>
      </c>
      <c r="E6">
        <v>188</v>
      </c>
      <c r="F6" t="s">
        <v>26</v>
      </c>
      <c r="G6" t="s">
        <v>15</v>
      </c>
      <c r="H6" s="6">
        <v>482589</v>
      </c>
      <c r="I6" s="6">
        <v>492806</v>
      </c>
      <c r="J6" t="s">
        <v>16</v>
      </c>
      <c r="K6" s="8">
        <v>5</v>
      </c>
    </row>
    <row r="7" spans="1:11" x14ac:dyDescent="0.25">
      <c r="A7" t="s">
        <v>28</v>
      </c>
      <c r="B7" s="1">
        <v>45695</v>
      </c>
      <c r="C7" t="s">
        <v>12</v>
      </c>
      <c r="D7" t="s">
        <v>18</v>
      </c>
      <c r="E7">
        <v>493</v>
      </c>
      <c r="F7" t="s">
        <v>26</v>
      </c>
      <c r="G7" t="s">
        <v>15</v>
      </c>
      <c r="H7" s="6">
        <v>469398</v>
      </c>
      <c r="I7" s="6">
        <v>428514</v>
      </c>
      <c r="J7" t="s">
        <v>16</v>
      </c>
      <c r="K7" s="8">
        <v>1</v>
      </c>
    </row>
    <row r="8" spans="1:11" x14ac:dyDescent="0.25">
      <c r="A8" t="s">
        <v>29</v>
      </c>
      <c r="B8" s="1">
        <v>45678</v>
      </c>
      <c r="C8" t="s">
        <v>12</v>
      </c>
      <c r="D8" t="s">
        <v>30</v>
      </c>
      <c r="E8">
        <v>878</v>
      </c>
      <c r="F8" t="s">
        <v>31</v>
      </c>
      <c r="G8" t="s">
        <v>20</v>
      </c>
      <c r="H8" s="6">
        <v>245738</v>
      </c>
      <c r="I8" s="6">
        <v>255167</v>
      </c>
      <c r="J8" t="s">
        <v>32</v>
      </c>
      <c r="K8" s="8">
        <v>6</v>
      </c>
    </row>
    <row r="9" spans="1:11" x14ac:dyDescent="0.25">
      <c r="A9" t="s">
        <v>33</v>
      </c>
      <c r="B9" s="1">
        <v>45678</v>
      </c>
      <c r="C9" t="s">
        <v>18</v>
      </c>
      <c r="D9" t="s">
        <v>25</v>
      </c>
      <c r="E9">
        <v>246</v>
      </c>
      <c r="F9" t="s">
        <v>31</v>
      </c>
      <c r="G9" t="s">
        <v>15</v>
      </c>
      <c r="H9" s="6">
        <v>419360</v>
      </c>
      <c r="I9" s="6">
        <v>452587</v>
      </c>
      <c r="J9" t="s">
        <v>16</v>
      </c>
      <c r="K9" s="8">
        <v>2</v>
      </c>
    </row>
    <row r="10" spans="1:11" x14ac:dyDescent="0.25">
      <c r="A10" t="s">
        <v>34</v>
      </c>
      <c r="B10" s="1">
        <v>45687</v>
      </c>
      <c r="C10" t="s">
        <v>30</v>
      </c>
      <c r="D10" t="s">
        <v>22</v>
      </c>
      <c r="E10">
        <v>764</v>
      </c>
      <c r="F10" t="s">
        <v>26</v>
      </c>
      <c r="G10" t="s">
        <v>20</v>
      </c>
      <c r="H10" s="6">
        <v>541897</v>
      </c>
      <c r="I10" s="6">
        <v>592601</v>
      </c>
      <c r="J10" t="s">
        <v>16</v>
      </c>
      <c r="K10" s="8">
        <v>7</v>
      </c>
    </row>
    <row r="11" spans="1:11" x14ac:dyDescent="0.25">
      <c r="A11" t="s">
        <v>35</v>
      </c>
      <c r="B11" s="1">
        <v>45685</v>
      </c>
      <c r="C11" t="s">
        <v>13</v>
      </c>
      <c r="D11" t="s">
        <v>30</v>
      </c>
      <c r="E11">
        <v>648</v>
      </c>
      <c r="F11" t="s">
        <v>26</v>
      </c>
      <c r="G11" t="s">
        <v>15</v>
      </c>
      <c r="H11" s="6">
        <v>134701</v>
      </c>
      <c r="I11" s="6">
        <v>112354</v>
      </c>
      <c r="J11" t="s">
        <v>32</v>
      </c>
      <c r="K11" s="8">
        <v>5</v>
      </c>
    </row>
    <row r="12" spans="1:11" x14ac:dyDescent="0.25">
      <c r="A12" t="s">
        <v>36</v>
      </c>
      <c r="B12" s="1">
        <v>45732</v>
      </c>
      <c r="C12" t="s">
        <v>30</v>
      </c>
      <c r="D12" t="s">
        <v>22</v>
      </c>
      <c r="E12">
        <v>392</v>
      </c>
      <c r="F12" t="s">
        <v>14</v>
      </c>
      <c r="G12" t="s">
        <v>15</v>
      </c>
      <c r="H12" s="6">
        <v>238873</v>
      </c>
      <c r="I12" s="6">
        <v>207174</v>
      </c>
      <c r="J12" t="s">
        <v>32</v>
      </c>
      <c r="K12" s="8">
        <v>2</v>
      </c>
    </row>
    <row r="13" spans="1:11" x14ac:dyDescent="0.25">
      <c r="A13" t="s">
        <v>37</v>
      </c>
      <c r="B13" s="1">
        <v>45664</v>
      </c>
      <c r="C13" t="s">
        <v>23</v>
      </c>
      <c r="D13" t="s">
        <v>38</v>
      </c>
      <c r="E13">
        <v>549</v>
      </c>
      <c r="F13" t="s">
        <v>19</v>
      </c>
      <c r="G13" t="s">
        <v>15</v>
      </c>
      <c r="H13" s="6">
        <v>172525</v>
      </c>
      <c r="I13" s="6">
        <v>189309</v>
      </c>
      <c r="J13" t="s">
        <v>16</v>
      </c>
      <c r="K13" s="8">
        <v>4</v>
      </c>
    </row>
    <row r="14" spans="1:11" x14ac:dyDescent="0.25">
      <c r="A14" t="s">
        <v>39</v>
      </c>
      <c r="B14" s="1">
        <v>45734</v>
      </c>
      <c r="C14" t="s">
        <v>12</v>
      </c>
      <c r="D14" t="s">
        <v>25</v>
      </c>
      <c r="E14">
        <v>964</v>
      </c>
      <c r="F14" t="s">
        <v>14</v>
      </c>
      <c r="G14" t="s">
        <v>20</v>
      </c>
      <c r="H14" s="6">
        <v>412690</v>
      </c>
      <c r="I14" s="6">
        <v>371016</v>
      </c>
      <c r="J14" t="s">
        <v>32</v>
      </c>
      <c r="K14" s="8">
        <v>4</v>
      </c>
    </row>
    <row r="15" spans="1:11" x14ac:dyDescent="0.25">
      <c r="A15" t="s">
        <v>40</v>
      </c>
      <c r="B15" s="1">
        <v>45740</v>
      </c>
      <c r="C15" t="s">
        <v>30</v>
      </c>
      <c r="D15" t="s">
        <v>38</v>
      </c>
      <c r="E15">
        <v>334</v>
      </c>
      <c r="F15" t="s">
        <v>26</v>
      </c>
      <c r="G15" t="s">
        <v>20</v>
      </c>
      <c r="H15" s="6">
        <v>457412</v>
      </c>
      <c r="I15" s="6">
        <v>523382</v>
      </c>
      <c r="J15" t="s">
        <v>32</v>
      </c>
      <c r="K15" s="8">
        <v>5</v>
      </c>
    </row>
    <row r="16" spans="1:11" x14ac:dyDescent="0.25">
      <c r="A16" t="s">
        <v>41</v>
      </c>
      <c r="B16" s="1">
        <v>45722</v>
      </c>
      <c r="C16" t="s">
        <v>18</v>
      </c>
      <c r="D16" t="s">
        <v>12</v>
      </c>
      <c r="E16">
        <v>423</v>
      </c>
      <c r="F16" t="s">
        <v>26</v>
      </c>
      <c r="G16" t="s">
        <v>15</v>
      </c>
      <c r="H16" s="6">
        <v>337881</v>
      </c>
      <c r="I16" s="6">
        <v>288306</v>
      </c>
      <c r="J16" t="s">
        <v>32</v>
      </c>
      <c r="K16" s="8">
        <v>6</v>
      </c>
    </row>
    <row r="17" spans="1:11" x14ac:dyDescent="0.25">
      <c r="A17" t="s">
        <v>42</v>
      </c>
      <c r="B17" s="1">
        <v>45678</v>
      </c>
      <c r="C17" t="s">
        <v>25</v>
      </c>
      <c r="D17" t="s">
        <v>18</v>
      </c>
      <c r="E17">
        <v>1139</v>
      </c>
      <c r="F17" t="s">
        <v>43</v>
      </c>
      <c r="G17" t="s">
        <v>15</v>
      </c>
      <c r="H17" s="6">
        <v>419275</v>
      </c>
      <c r="I17" s="6">
        <v>395346</v>
      </c>
      <c r="J17" t="s">
        <v>32</v>
      </c>
      <c r="K17" s="8">
        <v>2</v>
      </c>
    </row>
    <row r="18" spans="1:11" x14ac:dyDescent="0.25">
      <c r="A18" t="s">
        <v>44</v>
      </c>
      <c r="B18" s="1">
        <v>45688</v>
      </c>
      <c r="C18" t="s">
        <v>13</v>
      </c>
      <c r="D18" t="s">
        <v>18</v>
      </c>
      <c r="E18">
        <v>139</v>
      </c>
      <c r="F18" t="s">
        <v>26</v>
      </c>
      <c r="G18" t="s">
        <v>15</v>
      </c>
      <c r="H18" s="6">
        <v>158650</v>
      </c>
      <c r="I18" s="6">
        <v>230428</v>
      </c>
      <c r="J18" t="s">
        <v>32</v>
      </c>
      <c r="K18" s="8">
        <v>3</v>
      </c>
    </row>
    <row r="19" spans="1:11" x14ac:dyDescent="0.25">
      <c r="A19" t="s">
        <v>45</v>
      </c>
      <c r="B19" s="1">
        <v>45726</v>
      </c>
      <c r="C19" t="s">
        <v>13</v>
      </c>
      <c r="D19" t="s">
        <v>25</v>
      </c>
      <c r="E19">
        <v>275</v>
      </c>
      <c r="F19" t="s">
        <v>46</v>
      </c>
      <c r="G19" t="s">
        <v>20</v>
      </c>
      <c r="H19" s="6">
        <v>483730</v>
      </c>
      <c r="I19" s="6">
        <v>497429</v>
      </c>
      <c r="J19" t="s">
        <v>16</v>
      </c>
      <c r="K19" s="8">
        <v>7</v>
      </c>
    </row>
    <row r="20" spans="1:11" x14ac:dyDescent="0.25">
      <c r="A20" t="s">
        <v>47</v>
      </c>
      <c r="B20" s="1">
        <v>45685</v>
      </c>
      <c r="C20" t="s">
        <v>25</v>
      </c>
      <c r="D20" t="s">
        <v>13</v>
      </c>
      <c r="E20">
        <v>438</v>
      </c>
      <c r="F20" t="s">
        <v>14</v>
      </c>
      <c r="G20" t="s">
        <v>15</v>
      </c>
      <c r="H20" s="6">
        <v>238966</v>
      </c>
      <c r="I20" s="6">
        <v>258129</v>
      </c>
      <c r="J20" t="s">
        <v>32</v>
      </c>
      <c r="K20" s="8">
        <v>7</v>
      </c>
    </row>
    <row r="21" spans="1:11" x14ac:dyDescent="0.25">
      <c r="A21" t="s">
        <v>48</v>
      </c>
      <c r="B21" s="1">
        <v>45673</v>
      </c>
      <c r="C21" t="s">
        <v>22</v>
      </c>
      <c r="D21" t="s">
        <v>23</v>
      </c>
      <c r="E21">
        <v>864</v>
      </c>
      <c r="F21" t="s">
        <v>26</v>
      </c>
      <c r="G21" t="s">
        <v>15</v>
      </c>
      <c r="H21" s="6">
        <v>329690</v>
      </c>
      <c r="I21" s="6">
        <v>397604</v>
      </c>
      <c r="J21" t="s">
        <v>32</v>
      </c>
      <c r="K21" s="8">
        <v>5</v>
      </c>
    </row>
    <row r="22" spans="1:11" x14ac:dyDescent="0.25">
      <c r="A22" t="s">
        <v>49</v>
      </c>
      <c r="B22" s="1">
        <v>45658</v>
      </c>
      <c r="C22" t="s">
        <v>22</v>
      </c>
      <c r="D22" t="s">
        <v>13</v>
      </c>
      <c r="E22">
        <v>143</v>
      </c>
      <c r="F22" t="s">
        <v>43</v>
      </c>
      <c r="G22" t="s">
        <v>15</v>
      </c>
      <c r="H22" s="6">
        <v>408443</v>
      </c>
      <c r="I22" s="6">
        <v>431046</v>
      </c>
      <c r="J22" t="s">
        <v>16</v>
      </c>
      <c r="K22" s="8">
        <v>2</v>
      </c>
    </row>
    <row r="23" spans="1:11" x14ac:dyDescent="0.25">
      <c r="A23" t="s">
        <v>50</v>
      </c>
      <c r="B23" s="1">
        <v>45667</v>
      </c>
      <c r="C23" t="s">
        <v>12</v>
      </c>
      <c r="D23" t="s">
        <v>23</v>
      </c>
      <c r="E23">
        <v>568</v>
      </c>
      <c r="F23" t="s">
        <v>14</v>
      </c>
      <c r="G23" t="s">
        <v>20</v>
      </c>
      <c r="H23" s="6">
        <v>135337</v>
      </c>
      <c r="I23" s="6">
        <v>204012</v>
      </c>
      <c r="J23" t="s">
        <v>32</v>
      </c>
      <c r="K23" s="8">
        <v>1</v>
      </c>
    </row>
    <row r="24" spans="1:11" x14ac:dyDescent="0.25">
      <c r="A24" t="s">
        <v>51</v>
      </c>
      <c r="B24" s="1">
        <v>45689</v>
      </c>
      <c r="C24" t="s">
        <v>22</v>
      </c>
      <c r="D24" t="s">
        <v>25</v>
      </c>
      <c r="E24">
        <v>538</v>
      </c>
      <c r="F24" t="s">
        <v>14</v>
      </c>
      <c r="G24" t="s">
        <v>15</v>
      </c>
      <c r="H24" s="6">
        <v>382713</v>
      </c>
      <c r="I24" s="6">
        <v>350055</v>
      </c>
      <c r="J24" t="s">
        <v>32</v>
      </c>
      <c r="K24" s="8">
        <v>6</v>
      </c>
    </row>
    <row r="25" spans="1:11" x14ac:dyDescent="0.25">
      <c r="A25" t="s">
        <v>52</v>
      </c>
      <c r="B25" s="1">
        <v>45712</v>
      </c>
      <c r="C25" t="s">
        <v>30</v>
      </c>
      <c r="D25" t="s">
        <v>23</v>
      </c>
      <c r="E25">
        <v>293</v>
      </c>
      <c r="F25" t="s">
        <v>19</v>
      </c>
      <c r="G25" t="s">
        <v>20</v>
      </c>
      <c r="H25" s="6">
        <v>150819</v>
      </c>
      <c r="I25" s="6">
        <v>187193</v>
      </c>
      <c r="J25" t="s">
        <v>32</v>
      </c>
      <c r="K25" s="8">
        <v>4</v>
      </c>
    </row>
    <row r="26" spans="1:11" x14ac:dyDescent="0.25">
      <c r="A26" t="s">
        <v>53</v>
      </c>
      <c r="B26" s="1">
        <v>45671</v>
      </c>
      <c r="C26" t="s">
        <v>23</v>
      </c>
      <c r="D26" t="s">
        <v>22</v>
      </c>
      <c r="E26">
        <v>301</v>
      </c>
      <c r="F26" t="s">
        <v>14</v>
      </c>
      <c r="G26" t="s">
        <v>20</v>
      </c>
      <c r="H26" s="6">
        <v>131778</v>
      </c>
      <c r="I26" s="6">
        <v>134550</v>
      </c>
      <c r="J26" t="s">
        <v>32</v>
      </c>
      <c r="K26" s="8">
        <v>6</v>
      </c>
    </row>
    <row r="27" spans="1:11" x14ac:dyDescent="0.25">
      <c r="A27" t="s">
        <v>54</v>
      </c>
      <c r="B27" s="1">
        <v>45689</v>
      </c>
      <c r="C27" t="s">
        <v>22</v>
      </c>
      <c r="D27" t="s">
        <v>13</v>
      </c>
      <c r="E27">
        <v>387</v>
      </c>
      <c r="F27" t="s">
        <v>31</v>
      </c>
      <c r="G27" t="s">
        <v>15</v>
      </c>
      <c r="H27" s="6">
        <v>321187</v>
      </c>
      <c r="I27" s="6">
        <v>295237</v>
      </c>
      <c r="J27" t="s">
        <v>32</v>
      </c>
      <c r="K27" s="8">
        <v>3</v>
      </c>
    </row>
    <row r="28" spans="1:11" x14ac:dyDescent="0.25">
      <c r="A28" t="s">
        <v>55</v>
      </c>
      <c r="B28" s="1">
        <v>45669</v>
      </c>
      <c r="C28" t="s">
        <v>12</v>
      </c>
      <c r="D28" t="s">
        <v>38</v>
      </c>
      <c r="E28">
        <v>203</v>
      </c>
      <c r="F28" t="s">
        <v>46</v>
      </c>
      <c r="G28" t="s">
        <v>20</v>
      </c>
      <c r="H28" s="6">
        <v>441911</v>
      </c>
      <c r="I28" s="6">
        <v>462766</v>
      </c>
      <c r="J28" t="s">
        <v>16</v>
      </c>
      <c r="K28" s="8">
        <v>7</v>
      </c>
    </row>
    <row r="29" spans="1:11" x14ac:dyDescent="0.25">
      <c r="A29" t="s">
        <v>56</v>
      </c>
      <c r="B29" s="1">
        <v>45679</v>
      </c>
      <c r="C29" t="s">
        <v>22</v>
      </c>
      <c r="D29" t="s">
        <v>13</v>
      </c>
      <c r="E29">
        <v>1085</v>
      </c>
      <c r="F29" t="s">
        <v>19</v>
      </c>
      <c r="G29" t="s">
        <v>15</v>
      </c>
      <c r="H29" s="6">
        <v>212065</v>
      </c>
      <c r="I29" s="6">
        <v>275396</v>
      </c>
      <c r="J29" t="s">
        <v>16</v>
      </c>
      <c r="K29" s="8">
        <v>4</v>
      </c>
    </row>
    <row r="30" spans="1:11" x14ac:dyDescent="0.25">
      <c r="A30" t="s">
        <v>57</v>
      </c>
      <c r="B30" s="1">
        <v>45677</v>
      </c>
      <c r="C30" t="s">
        <v>23</v>
      </c>
      <c r="D30" t="s">
        <v>12</v>
      </c>
      <c r="E30">
        <v>1031</v>
      </c>
      <c r="F30" t="s">
        <v>19</v>
      </c>
      <c r="G30" t="s">
        <v>15</v>
      </c>
      <c r="H30" s="6">
        <v>249552</v>
      </c>
      <c r="I30" s="6">
        <v>254996</v>
      </c>
      <c r="J30" t="s">
        <v>32</v>
      </c>
      <c r="K30" s="8">
        <v>6</v>
      </c>
    </row>
    <row r="31" spans="1:11" x14ac:dyDescent="0.25">
      <c r="A31" t="s">
        <v>58</v>
      </c>
      <c r="B31" s="1">
        <v>45732</v>
      </c>
      <c r="C31" t="s">
        <v>22</v>
      </c>
      <c r="D31" t="s">
        <v>25</v>
      </c>
      <c r="E31">
        <v>224</v>
      </c>
      <c r="F31" t="s">
        <v>31</v>
      </c>
      <c r="G31" t="s">
        <v>20</v>
      </c>
      <c r="H31" s="6">
        <v>492154</v>
      </c>
      <c r="I31" s="6">
        <v>483258</v>
      </c>
      <c r="J31" t="s">
        <v>16</v>
      </c>
      <c r="K31" s="8">
        <v>1</v>
      </c>
    </row>
    <row r="32" spans="1:11" x14ac:dyDescent="0.25">
      <c r="A32" t="s">
        <v>59</v>
      </c>
      <c r="B32" s="1">
        <v>45666</v>
      </c>
      <c r="C32" t="s">
        <v>30</v>
      </c>
      <c r="D32" t="s">
        <v>38</v>
      </c>
      <c r="E32">
        <v>216</v>
      </c>
      <c r="F32" t="s">
        <v>46</v>
      </c>
      <c r="G32" t="s">
        <v>20</v>
      </c>
      <c r="H32" s="6">
        <v>366248</v>
      </c>
      <c r="I32" s="6">
        <v>326748</v>
      </c>
      <c r="J32" t="s">
        <v>16</v>
      </c>
      <c r="K32" s="8">
        <v>7</v>
      </c>
    </row>
    <row r="33" spans="1:11" x14ac:dyDescent="0.25">
      <c r="A33" t="s">
        <v>60</v>
      </c>
      <c r="B33" s="1">
        <v>45732</v>
      </c>
      <c r="C33" t="s">
        <v>12</v>
      </c>
      <c r="D33" t="s">
        <v>23</v>
      </c>
      <c r="E33">
        <v>345</v>
      </c>
      <c r="F33" t="s">
        <v>31</v>
      </c>
      <c r="G33" t="s">
        <v>15</v>
      </c>
      <c r="H33" s="6">
        <v>593667</v>
      </c>
      <c r="I33" s="6">
        <v>660358</v>
      </c>
      <c r="J33" t="s">
        <v>16</v>
      </c>
      <c r="K33" s="8">
        <v>5</v>
      </c>
    </row>
    <row r="34" spans="1:11" x14ac:dyDescent="0.25">
      <c r="A34" t="s">
        <v>61</v>
      </c>
      <c r="B34" s="1">
        <v>45743</v>
      </c>
      <c r="C34" t="s">
        <v>13</v>
      </c>
      <c r="D34" t="s">
        <v>18</v>
      </c>
      <c r="E34">
        <v>1170</v>
      </c>
      <c r="F34" t="s">
        <v>43</v>
      </c>
      <c r="G34" t="s">
        <v>15</v>
      </c>
      <c r="H34" s="6">
        <v>265868</v>
      </c>
      <c r="I34" s="6">
        <v>338381</v>
      </c>
      <c r="J34" t="s">
        <v>16</v>
      </c>
      <c r="K34" s="8">
        <v>3</v>
      </c>
    </row>
    <row r="35" spans="1:11" x14ac:dyDescent="0.25">
      <c r="A35" t="s">
        <v>62</v>
      </c>
      <c r="B35" s="1">
        <v>45698</v>
      </c>
      <c r="C35" t="s">
        <v>18</v>
      </c>
      <c r="D35" t="s">
        <v>13</v>
      </c>
      <c r="E35">
        <v>368</v>
      </c>
      <c r="F35" t="s">
        <v>26</v>
      </c>
      <c r="G35" t="s">
        <v>15</v>
      </c>
      <c r="H35" s="6">
        <v>452159</v>
      </c>
      <c r="I35" s="6">
        <v>486766</v>
      </c>
      <c r="J35" t="s">
        <v>32</v>
      </c>
      <c r="K35" s="8">
        <v>3</v>
      </c>
    </row>
    <row r="36" spans="1:11" x14ac:dyDescent="0.25">
      <c r="A36" t="s">
        <v>63</v>
      </c>
      <c r="B36" s="1">
        <v>45674</v>
      </c>
      <c r="C36" t="s">
        <v>12</v>
      </c>
      <c r="D36" t="s">
        <v>13</v>
      </c>
      <c r="E36">
        <v>250</v>
      </c>
      <c r="F36" t="s">
        <v>19</v>
      </c>
      <c r="G36" t="s">
        <v>20</v>
      </c>
      <c r="H36" s="6">
        <v>381875</v>
      </c>
      <c r="I36" s="6">
        <v>359813</v>
      </c>
      <c r="J36" t="s">
        <v>32</v>
      </c>
      <c r="K36" s="8">
        <v>5</v>
      </c>
    </row>
    <row r="37" spans="1:11" x14ac:dyDescent="0.25">
      <c r="A37" t="s">
        <v>64</v>
      </c>
      <c r="B37" s="1">
        <v>45736</v>
      </c>
      <c r="C37" t="s">
        <v>18</v>
      </c>
      <c r="D37" t="s">
        <v>12</v>
      </c>
      <c r="E37">
        <v>683</v>
      </c>
      <c r="F37" t="s">
        <v>31</v>
      </c>
      <c r="G37" t="s">
        <v>15</v>
      </c>
      <c r="H37" s="6">
        <v>182704</v>
      </c>
      <c r="I37" s="6">
        <v>190137</v>
      </c>
      <c r="J37" t="s">
        <v>32</v>
      </c>
      <c r="K37" s="8">
        <v>7</v>
      </c>
    </row>
    <row r="38" spans="1:11" x14ac:dyDescent="0.25">
      <c r="A38" t="s">
        <v>65</v>
      </c>
      <c r="B38" s="1">
        <v>45672</v>
      </c>
      <c r="C38" t="s">
        <v>13</v>
      </c>
      <c r="D38" t="s">
        <v>23</v>
      </c>
      <c r="E38">
        <v>312</v>
      </c>
      <c r="F38" t="s">
        <v>46</v>
      </c>
      <c r="G38" t="s">
        <v>15</v>
      </c>
      <c r="H38" s="6">
        <v>592269</v>
      </c>
      <c r="I38" s="6">
        <v>657366</v>
      </c>
      <c r="J38" t="s">
        <v>32</v>
      </c>
      <c r="K38" s="8">
        <v>2</v>
      </c>
    </row>
    <row r="39" spans="1:11" x14ac:dyDescent="0.25">
      <c r="A39" t="s">
        <v>66</v>
      </c>
      <c r="B39" s="1">
        <v>45684</v>
      </c>
      <c r="C39" t="s">
        <v>12</v>
      </c>
      <c r="D39" t="s">
        <v>23</v>
      </c>
      <c r="E39">
        <v>657</v>
      </c>
      <c r="F39" t="s">
        <v>46</v>
      </c>
      <c r="G39" t="s">
        <v>20</v>
      </c>
      <c r="H39" s="6">
        <v>247721</v>
      </c>
      <c r="I39" s="6">
        <v>276997</v>
      </c>
      <c r="J39" t="s">
        <v>32</v>
      </c>
      <c r="K39" s="8">
        <v>2</v>
      </c>
    </row>
    <row r="40" spans="1:11" x14ac:dyDescent="0.25">
      <c r="A40" t="s">
        <v>67</v>
      </c>
      <c r="B40" s="1">
        <v>45663</v>
      </c>
      <c r="C40" t="s">
        <v>38</v>
      </c>
      <c r="D40" t="s">
        <v>18</v>
      </c>
      <c r="E40">
        <v>204</v>
      </c>
      <c r="F40" t="s">
        <v>19</v>
      </c>
      <c r="G40" t="s">
        <v>15</v>
      </c>
      <c r="H40" s="6">
        <v>148390</v>
      </c>
      <c r="I40" s="6">
        <v>181526</v>
      </c>
      <c r="J40" t="s">
        <v>32</v>
      </c>
      <c r="K40" s="8">
        <v>4</v>
      </c>
    </row>
    <row r="41" spans="1:11" x14ac:dyDescent="0.25">
      <c r="A41" t="s">
        <v>68</v>
      </c>
      <c r="B41" s="1">
        <v>45729</v>
      </c>
      <c r="C41" t="s">
        <v>13</v>
      </c>
      <c r="D41" t="s">
        <v>22</v>
      </c>
      <c r="E41">
        <v>430</v>
      </c>
      <c r="F41" t="s">
        <v>31</v>
      </c>
      <c r="G41" t="s">
        <v>15</v>
      </c>
      <c r="H41" s="6">
        <v>488618</v>
      </c>
      <c r="I41" s="6">
        <v>496530</v>
      </c>
      <c r="J41" t="s">
        <v>32</v>
      </c>
      <c r="K41" s="8">
        <v>5</v>
      </c>
    </row>
    <row r="42" spans="1:11" x14ac:dyDescent="0.25">
      <c r="A42" t="s">
        <v>69</v>
      </c>
      <c r="B42" s="1">
        <v>45713</v>
      </c>
      <c r="C42" t="s">
        <v>13</v>
      </c>
      <c r="D42" t="s">
        <v>12</v>
      </c>
      <c r="E42">
        <v>173</v>
      </c>
      <c r="F42" t="s">
        <v>43</v>
      </c>
      <c r="G42" t="s">
        <v>20</v>
      </c>
      <c r="H42" s="6">
        <v>537568</v>
      </c>
      <c r="I42" s="6">
        <v>535961</v>
      </c>
      <c r="J42" t="s">
        <v>16</v>
      </c>
      <c r="K42" s="8">
        <v>5</v>
      </c>
    </row>
    <row r="43" spans="1:11" x14ac:dyDescent="0.25">
      <c r="A43" t="s">
        <v>70</v>
      </c>
      <c r="B43" s="1">
        <v>45743</v>
      </c>
      <c r="C43" t="s">
        <v>25</v>
      </c>
      <c r="D43" t="s">
        <v>12</v>
      </c>
      <c r="E43">
        <v>181</v>
      </c>
      <c r="F43" t="s">
        <v>26</v>
      </c>
      <c r="G43" t="s">
        <v>15</v>
      </c>
      <c r="H43" s="6">
        <v>571295</v>
      </c>
      <c r="I43" s="6">
        <v>568193</v>
      </c>
      <c r="J43" t="s">
        <v>16</v>
      </c>
      <c r="K43" s="8">
        <v>2</v>
      </c>
    </row>
    <row r="44" spans="1:11" x14ac:dyDescent="0.25">
      <c r="A44" t="s">
        <v>71</v>
      </c>
      <c r="B44" s="1">
        <v>45680</v>
      </c>
      <c r="C44" t="s">
        <v>12</v>
      </c>
      <c r="D44" t="s">
        <v>22</v>
      </c>
      <c r="E44">
        <v>416</v>
      </c>
      <c r="F44" t="s">
        <v>46</v>
      </c>
      <c r="G44" t="s">
        <v>15</v>
      </c>
      <c r="H44" s="6">
        <v>585366</v>
      </c>
      <c r="I44" s="6">
        <v>657247</v>
      </c>
      <c r="J44" t="s">
        <v>16</v>
      </c>
      <c r="K44" s="8">
        <v>2</v>
      </c>
    </row>
    <row r="45" spans="1:11" x14ac:dyDescent="0.25">
      <c r="A45" t="s">
        <v>72</v>
      </c>
      <c r="B45" s="1">
        <v>45692</v>
      </c>
      <c r="C45" t="s">
        <v>23</v>
      </c>
      <c r="D45" t="s">
        <v>12</v>
      </c>
      <c r="E45">
        <v>943</v>
      </c>
      <c r="F45" t="s">
        <v>31</v>
      </c>
      <c r="G45" t="s">
        <v>15</v>
      </c>
      <c r="H45" s="6">
        <v>520602</v>
      </c>
      <c r="I45" s="6">
        <v>558408</v>
      </c>
      <c r="J45" t="s">
        <v>16</v>
      </c>
      <c r="K45" s="8">
        <v>7</v>
      </c>
    </row>
    <row r="46" spans="1:11" x14ac:dyDescent="0.25">
      <c r="A46" t="s">
        <v>73</v>
      </c>
      <c r="B46" s="1">
        <v>45686</v>
      </c>
      <c r="C46" t="s">
        <v>25</v>
      </c>
      <c r="D46" t="s">
        <v>30</v>
      </c>
      <c r="E46">
        <v>883</v>
      </c>
      <c r="F46" t="s">
        <v>14</v>
      </c>
      <c r="G46" t="s">
        <v>20</v>
      </c>
      <c r="H46" s="6">
        <v>557266</v>
      </c>
      <c r="I46" s="6">
        <v>512341</v>
      </c>
      <c r="J46" t="s">
        <v>32</v>
      </c>
      <c r="K46" s="8">
        <v>7</v>
      </c>
    </row>
    <row r="47" spans="1:11" x14ac:dyDescent="0.25">
      <c r="A47" t="s">
        <v>74</v>
      </c>
      <c r="B47" s="1">
        <v>45686</v>
      </c>
      <c r="C47" t="s">
        <v>22</v>
      </c>
      <c r="D47" t="s">
        <v>30</v>
      </c>
      <c r="E47">
        <v>725</v>
      </c>
      <c r="F47" t="s">
        <v>19</v>
      </c>
      <c r="G47" t="s">
        <v>15</v>
      </c>
      <c r="H47" s="6">
        <v>530197</v>
      </c>
      <c r="I47" s="6">
        <v>584444</v>
      </c>
      <c r="J47" t="s">
        <v>16</v>
      </c>
      <c r="K47" s="8">
        <v>7</v>
      </c>
    </row>
    <row r="48" spans="1:11" x14ac:dyDescent="0.25">
      <c r="A48" t="s">
        <v>75</v>
      </c>
      <c r="B48" s="1">
        <v>45702</v>
      </c>
      <c r="C48" t="s">
        <v>13</v>
      </c>
      <c r="D48" t="s">
        <v>23</v>
      </c>
      <c r="E48">
        <v>772</v>
      </c>
      <c r="F48" t="s">
        <v>31</v>
      </c>
      <c r="G48" t="s">
        <v>15</v>
      </c>
      <c r="H48" s="6">
        <v>246068</v>
      </c>
      <c r="I48" s="6">
        <v>309360</v>
      </c>
      <c r="J48" t="s">
        <v>32</v>
      </c>
      <c r="K48" s="8">
        <v>1</v>
      </c>
    </row>
    <row r="49" spans="1:11" x14ac:dyDescent="0.25">
      <c r="A49" t="s">
        <v>76</v>
      </c>
      <c r="B49" s="1">
        <v>45732</v>
      </c>
      <c r="C49" t="s">
        <v>23</v>
      </c>
      <c r="D49" t="s">
        <v>18</v>
      </c>
      <c r="E49">
        <v>156</v>
      </c>
      <c r="F49" t="s">
        <v>46</v>
      </c>
      <c r="G49" t="s">
        <v>15</v>
      </c>
      <c r="H49" s="6">
        <v>160472</v>
      </c>
      <c r="I49" s="6">
        <v>225427</v>
      </c>
      <c r="J49" t="s">
        <v>16</v>
      </c>
      <c r="K49" s="8">
        <v>3</v>
      </c>
    </row>
    <row r="50" spans="1:11" x14ac:dyDescent="0.25">
      <c r="A50" t="s">
        <v>77</v>
      </c>
      <c r="B50" s="1">
        <v>45735</v>
      </c>
      <c r="C50" t="s">
        <v>38</v>
      </c>
      <c r="D50" t="s">
        <v>12</v>
      </c>
      <c r="E50">
        <v>807</v>
      </c>
      <c r="F50" t="s">
        <v>43</v>
      </c>
      <c r="G50" t="s">
        <v>15</v>
      </c>
      <c r="H50" s="6">
        <v>481967</v>
      </c>
      <c r="I50" s="6">
        <v>535045</v>
      </c>
      <c r="J50" t="s">
        <v>32</v>
      </c>
      <c r="K50" s="8">
        <v>3</v>
      </c>
    </row>
    <row r="51" spans="1:11" x14ac:dyDescent="0.25">
      <c r="A51" t="s">
        <v>78</v>
      </c>
      <c r="B51" s="1">
        <v>45724</v>
      </c>
      <c r="C51" t="s">
        <v>12</v>
      </c>
      <c r="D51" t="s">
        <v>38</v>
      </c>
      <c r="E51">
        <v>621</v>
      </c>
      <c r="F51" t="s">
        <v>46</v>
      </c>
      <c r="G51" t="s">
        <v>20</v>
      </c>
      <c r="H51" s="6">
        <v>123271</v>
      </c>
      <c r="I51" s="6">
        <v>166172</v>
      </c>
      <c r="J51" t="s">
        <v>16</v>
      </c>
      <c r="K51" s="8">
        <v>4</v>
      </c>
    </row>
    <row r="52" spans="1:11" x14ac:dyDescent="0.25">
      <c r="A52" t="s">
        <v>79</v>
      </c>
      <c r="B52" s="1">
        <v>45696</v>
      </c>
      <c r="C52" t="s">
        <v>22</v>
      </c>
      <c r="D52" t="s">
        <v>25</v>
      </c>
      <c r="E52">
        <v>776</v>
      </c>
      <c r="F52" t="s">
        <v>19</v>
      </c>
      <c r="G52" t="s">
        <v>20</v>
      </c>
      <c r="H52" s="6">
        <v>426712</v>
      </c>
      <c r="I52" s="6">
        <v>417857</v>
      </c>
      <c r="J52" t="s">
        <v>16</v>
      </c>
      <c r="K52" s="8">
        <v>6</v>
      </c>
    </row>
    <row r="53" spans="1:11" x14ac:dyDescent="0.25">
      <c r="A53" t="s">
        <v>80</v>
      </c>
      <c r="B53" s="1">
        <v>45682</v>
      </c>
      <c r="C53" t="s">
        <v>38</v>
      </c>
      <c r="D53" t="s">
        <v>23</v>
      </c>
      <c r="E53">
        <v>924</v>
      </c>
      <c r="F53" t="s">
        <v>19</v>
      </c>
      <c r="G53" t="s">
        <v>15</v>
      </c>
      <c r="H53" s="6">
        <v>465538</v>
      </c>
      <c r="I53" s="6">
        <v>454290</v>
      </c>
      <c r="J53" t="s">
        <v>16</v>
      </c>
      <c r="K53" s="8">
        <v>5</v>
      </c>
    </row>
    <row r="54" spans="1:11" x14ac:dyDescent="0.25">
      <c r="A54" t="s">
        <v>81</v>
      </c>
      <c r="B54" s="1">
        <v>45696</v>
      </c>
      <c r="C54" t="s">
        <v>23</v>
      </c>
      <c r="D54" t="s">
        <v>18</v>
      </c>
      <c r="E54">
        <v>716</v>
      </c>
      <c r="F54" t="s">
        <v>19</v>
      </c>
      <c r="G54" t="s">
        <v>20</v>
      </c>
      <c r="H54" s="6">
        <v>312900</v>
      </c>
      <c r="I54" s="6">
        <v>334719</v>
      </c>
      <c r="J54" t="s">
        <v>16</v>
      </c>
      <c r="K54" s="8">
        <v>7</v>
      </c>
    </row>
    <row r="55" spans="1:11" x14ac:dyDescent="0.25">
      <c r="A55" t="s">
        <v>82</v>
      </c>
      <c r="B55" s="1">
        <v>45723</v>
      </c>
      <c r="C55" t="s">
        <v>38</v>
      </c>
      <c r="D55" t="s">
        <v>13</v>
      </c>
      <c r="E55">
        <v>1052</v>
      </c>
      <c r="F55" t="s">
        <v>19</v>
      </c>
      <c r="G55" t="s">
        <v>15</v>
      </c>
      <c r="H55" s="6">
        <v>331623</v>
      </c>
      <c r="I55" s="6">
        <v>339577</v>
      </c>
      <c r="J55" t="s">
        <v>16</v>
      </c>
      <c r="K55" s="8">
        <v>6</v>
      </c>
    </row>
    <row r="56" spans="1:11" x14ac:dyDescent="0.25">
      <c r="A56" t="s">
        <v>83</v>
      </c>
      <c r="B56" s="1">
        <v>45669</v>
      </c>
      <c r="C56" t="s">
        <v>30</v>
      </c>
      <c r="D56" t="s">
        <v>23</v>
      </c>
      <c r="E56">
        <v>273</v>
      </c>
      <c r="F56" t="s">
        <v>14</v>
      </c>
      <c r="G56" t="s">
        <v>20</v>
      </c>
      <c r="H56" s="6">
        <v>248785</v>
      </c>
      <c r="I56" s="6">
        <v>266346</v>
      </c>
      <c r="J56" t="s">
        <v>32</v>
      </c>
      <c r="K56" s="8">
        <v>6</v>
      </c>
    </row>
    <row r="57" spans="1:11" x14ac:dyDescent="0.25">
      <c r="A57" t="s">
        <v>84</v>
      </c>
      <c r="B57" s="1">
        <v>45718</v>
      </c>
      <c r="C57" t="s">
        <v>22</v>
      </c>
      <c r="D57" t="s">
        <v>23</v>
      </c>
      <c r="E57">
        <v>507</v>
      </c>
      <c r="F57" t="s">
        <v>26</v>
      </c>
      <c r="G57" t="s">
        <v>20</v>
      </c>
      <c r="H57" s="6">
        <v>177255</v>
      </c>
      <c r="I57" s="6">
        <v>130456</v>
      </c>
      <c r="J57" t="s">
        <v>16</v>
      </c>
      <c r="K57" s="8">
        <v>1</v>
      </c>
    </row>
    <row r="58" spans="1:11" x14ac:dyDescent="0.25">
      <c r="A58" t="s">
        <v>85</v>
      </c>
      <c r="B58" s="1">
        <v>45741</v>
      </c>
      <c r="C58" t="s">
        <v>12</v>
      </c>
      <c r="D58" t="s">
        <v>38</v>
      </c>
      <c r="E58">
        <v>886</v>
      </c>
      <c r="F58" t="s">
        <v>19</v>
      </c>
      <c r="G58" t="s">
        <v>20</v>
      </c>
      <c r="H58" s="6">
        <v>359196</v>
      </c>
      <c r="I58" s="6">
        <v>361579</v>
      </c>
      <c r="J58" t="s">
        <v>16</v>
      </c>
      <c r="K58" s="8">
        <v>2</v>
      </c>
    </row>
    <row r="59" spans="1:11" x14ac:dyDescent="0.25">
      <c r="A59" t="s">
        <v>86</v>
      </c>
      <c r="B59" s="1">
        <v>45664</v>
      </c>
      <c r="C59" t="s">
        <v>13</v>
      </c>
      <c r="D59" t="s">
        <v>30</v>
      </c>
      <c r="E59">
        <v>548</v>
      </c>
      <c r="F59" t="s">
        <v>43</v>
      </c>
      <c r="G59" t="s">
        <v>15</v>
      </c>
      <c r="H59" s="6">
        <v>192215</v>
      </c>
      <c r="I59" s="6">
        <v>247611</v>
      </c>
      <c r="J59" t="s">
        <v>32</v>
      </c>
      <c r="K59" s="8">
        <v>6</v>
      </c>
    </row>
    <row r="60" spans="1:11" x14ac:dyDescent="0.25">
      <c r="A60" t="s">
        <v>87</v>
      </c>
      <c r="B60" s="1">
        <v>45714</v>
      </c>
      <c r="C60" t="s">
        <v>22</v>
      </c>
      <c r="D60" t="s">
        <v>30</v>
      </c>
      <c r="E60">
        <v>373</v>
      </c>
      <c r="F60" t="s">
        <v>43</v>
      </c>
      <c r="G60" t="s">
        <v>15</v>
      </c>
      <c r="H60" s="6">
        <v>520173</v>
      </c>
      <c r="I60" s="6">
        <v>531074</v>
      </c>
      <c r="J60" t="s">
        <v>32</v>
      </c>
      <c r="K60" s="8">
        <v>6</v>
      </c>
    </row>
    <row r="61" spans="1:11" x14ac:dyDescent="0.25">
      <c r="A61" t="s">
        <v>88</v>
      </c>
      <c r="B61" s="1">
        <v>45691</v>
      </c>
      <c r="C61" t="s">
        <v>23</v>
      </c>
      <c r="D61" t="s">
        <v>30</v>
      </c>
      <c r="E61">
        <v>425</v>
      </c>
      <c r="F61" t="s">
        <v>46</v>
      </c>
      <c r="G61" t="s">
        <v>15</v>
      </c>
      <c r="H61" s="6">
        <v>489889</v>
      </c>
      <c r="I61" s="6">
        <v>552806</v>
      </c>
      <c r="J61" t="s">
        <v>32</v>
      </c>
      <c r="K61" s="8">
        <v>4</v>
      </c>
    </row>
    <row r="62" spans="1:11" x14ac:dyDescent="0.25">
      <c r="A62" t="s">
        <v>89</v>
      </c>
      <c r="B62" s="1">
        <v>45714</v>
      </c>
      <c r="C62" t="s">
        <v>22</v>
      </c>
      <c r="D62" t="s">
        <v>30</v>
      </c>
      <c r="E62">
        <v>1167</v>
      </c>
      <c r="F62" t="s">
        <v>14</v>
      </c>
      <c r="G62" t="s">
        <v>15</v>
      </c>
      <c r="H62" s="6">
        <v>354068</v>
      </c>
      <c r="I62" s="6">
        <v>386217</v>
      </c>
      <c r="J62" t="s">
        <v>32</v>
      </c>
      <c r="K62" s="8">
        <v>2</v>
      </c>
    </row>
    <row r="63" spans="1:11" x14ac:dyDescent="0.25">
      <c r="A63" t="s">
        <v>90</v>
      </c>
      <c r="B63" s="1">
        <v>45675</v>
      </c>
      <c r="C63" t="s">
        <v>12</v>
      </c>
      <c r="D63" t="s">
        <v>23</v>
      </c>
      <c r="E63">
        <v>656</v>
      </c>
      <c r="F63" t="s">
        <v>26</v>
      </c>
      <c r="G63" t="s">
        <v>20</v>
      </c>
      <c r="H63" s="6">
        <v>276080</v>
      </c>
      <c r="I63" s="6">
        <v>267984</v>
      </c>
      <c r="J63" t="s">
        <v>16</v>
      </c>
      <c r="K63" s="8">
        <v>5</v>
      </c>
    </row>
    <row r="64" spans="1:11" x14ac:dyDescent="0.25">
      <c r="A64" t="s">
        <v>91</v>
      </c>
      <c r="B64" s="1">
        <v>45727</v>
      </c>
      <c r="C64" t="s">
        <v>25</v>
      </c>
      <c r="D64" t="s">
        <v>13</v>
      </c>
      <c r="E64">
        <v>538</v>
      </c>
      <c r="F64" t="s">
        <v>19</v>
      </c>
      <c r="G64" t="s">
        <v>20</v>
      </c>
      <c r="H64" s="6">
        <v>133674</v>
      </c>
      <c r="I64" s="6">
        <v>138051</v>
      </c>
      <c r="J64" t="s">
        <v>32</v>
      </c>
      <c r="K64" s="8">
        <v>4</v>
      </c>
    </row>
    <row r="65" spans="1:11" x14ac:dyDescent="0.25">
      <c r="A65" t="s">
        <v>92</v>
      </c>
      <c r="B65" s="1">
        <v>45731</v>
      </c>
      <c r="C65" t="s">
        <v>30</v>
      </c>
      <c r="D65" t="s">
        <v>22</v>
      </c>
      <c r="E65">
        <v>960</v>
      </c>
      <c r="F65" t="s">
        <v>43</v>
      </c>
      <c r="G65" t="s">
        <v>20</v>
      </c>
      <c r="H65" s="6">
        <v>304198</v>
      </c>
      <c r="I65" s="6">
        <v>372796</v>
      </c>
      <c r="J65" t="s">
        <v>16</v>
      </c>
      <c r="K65" s="8">
        <v>7</v>
      </c>
    </row>
    <row r="66" spans="1:11" x14ac:dyDescent="0.25">
      <c r="A66" t="s">
        <v>93</v>
      </c>
      <c r="B66" s="1">
        <v>45726</v>
      </c>
      <c r="C66" t="s">
        <v>23</v>
      </c>
      <c r="D66" t="s">
        <v>22</v>
      </c>
      <c r="E66">
        <v>711</v>
      </c>
      <c r="F66" t="s">
        <v>43</v>
      </c>
      <c r="G66" t="s">
        <v>15</v>
      </c>
      <c r="H66" s="6">
        <v>495037</v>
      </c>
      <c r="I66" s="6">
        <v>496153</v>
      </c>
      <c r="J66" t="s">
        <v>32</v>
      </c>
      <c r="K66" s="8">
        <v>7</v>
      </c>
    </row>
    <row r="67" spans="1:11" x14ac:dyDescent="0.25">
      <c r="A67" t="s">
        <v>94</v>
      </c>
      <c r="B67" s="1">
        <v>45743</v>
      </c>
      <c r="C67" t="s">
        <v>22</v>
      </c>
      <c r="D67" t="s">
        <v>38</v>
      </c>
      <c r="E67">
        <v>992</v>
      </c>
      <c r="F67" t="s">
        <v>31</v>
      </c>
      <c r="G67" t="s">
        <v>15</v>
      </c>
      <c r="H67" s="6">
        <v>354616</v>
      </c>
      <c r="I67" s="6">
        <v>308420</v>
      </c>
      <c r="J67" t="s">
        <v>32</v>
      </c>
      <c r="K67" s="8">
        <v>4</v>
      </c>
    </row>
    <row r="68" spans="1:11" x14ac:dyDescent="0.25">
      <c r="A68" t="s">
        <v>95</v>
      </c>
      <c r="B68" s="1">
        <v>45733</v>
      </c>
      <c r="C68" t="s">
        <v>23</v>
      </c>
      <c r="D68" t="s">
        <v>18</v>
      </c>
      <c r="E68">
        <v>361</v>
      </c>
      <c r="F68" t="s">
        <v>31</v>
      </c>
      <c r="G68" t="s">
        <v>15</v>
      </c>
      <c r="H68" s="6">
        <v>426241</v>
      </c>
      <c r="I68" s="6">
        <v>446249</v>
      </c>
      <c r="J68" t="s">
        <v>32</v>
      </c>
      <c r="K68" s="8">
        <v>1</v>
      </c>
    </row>
    <row r="69" spans="1:11" x14ac:dyDescent="0.25">
      <c r="A69" t="s">
        <v>96</v>
      </c>
      <c r="B69" s="1">
        <v>45691</v>
      </c>
      <c r="C69" t="s">
        <v>13</v>
      </c>
      <c r="D69" t="s">
        <v>12</v>
      </c>
      <c r="E69">
        <v>377</v>
      </c>
      <c r="F69" t="s">
        <v>14</v>
      </c>
      <c r="G69" t="s">
        <v>15</v>
      </c>
      <c r="H69" s="6">
        <v>554479</v>
      </c>
      <c r="I69" s="6">
        <v>564994</v>
      </c>
      <c r="J69" t="s">
        <v>16</v>
      </c>
      <c r="K69" s="8">
        <v>2</v>
      </c>
    </row>
    <row r="70" spans="1:11" x14ac:dyDescent="0.25">
      <c r="A70" t="s">
        <v>97</v>
      </c>
      <c r="B70" s="1">
        <v>45711</v>
      </c>
      <c r="C70" t="s">
        <v>23</v>
      </c>
      <c r="D70" t="s">
        <v>25</v>
      </c>
      <c r="E70">
        <v>769</v>
      </c>
      <c r="F70" t="s">
        <v>31</v>
      </c>
      <c r="G70" t="s">
        <v>15</v>
      </c>
      <c r="H70" s="6">
        <v>276947</v>
      </c>
      <c r="I70" s="6">
        <v>326722</v>
      </c>
      <c r="J70" t="s">
        <v>32</v>
      </c>
      <c r="K70" s="8">
        <v>4</v>
      </c>
    </row>
    <row r="71" spans="1:11" x14ac:dyDescent="0.25">
      <c r="A71" t="s">
        <v>98</v>
      </c>
      <c r="B71" s="1">
        <v>45686</v>
      </c>
      <c r="C71" t="s">
        <v>38</v>
      </c>
      <c r="D71" t="s">
        <v>30</v>
      </c>
      <c r="E71">
        <v>139</v>
      </c>
      <c r="F71" t="s">
        <v>43</v>
      </c>
      <c r="G71" t="s">
        <v>15</v>
      </c>
      <c r="H71" s="6">
        <v>492704</v>
      </c>
      <c r="I71" s="6">
        <v>513406</v>
      </c>
      <c r="J71" t="s">
        <v>32</v>
      </c>
      <c r="K71" s="8">
        <v>1</v>
      </c>
    </row>
    <row r="72" spans="1:11" x14ac:dyDescent="0.25">
      <c r="A72" t="s">
        <v>99</v>
      </c>
      <c r="B72" s="1">
        <v>45737</v>
      </c>
      <c r="C72" t="s">
        <v>12</v>
      </c>
      <c r="D72" t="s">
        <v>30</v>
      </c>
      <c r="E72">
        <v>163</v>
      </c>
      <c r="F72" t="s">
        <v>14</v>
      </c>
      <c r="G72" t="s">
        <v>20</v>
      </c>
      <c r="H72" s="6">
        <v>597870</v>
      </c>
      <c r="I72" s="6">
        <v>580281</v>
      </c>
      <c r="J72" t="s">
        <v>16</v>
      </c>
      <c r="K72" s="8">
        <v>2</v>
      </c>
    </row>
    <row r="73" spans="1:11" x14ac:dyDescent="0.25">
      <c r="A73" t="s">
        <v>100</v>
      </c>
      <c r="B73" s="1">
        <v>45747</v>
      </c>
      <c r="C73" t="s">
        <v>25</v>
      </c>
      <c r="D73" t="s">
        <v>13</v>
      </c>
      <c r="E73">
        <v>334</v>
      </c>
      <c r="F73" t="s">
        <v>31</v>
      </c>
      <c r="G73" t="s">
        <v>15</v>
      </c>
      <c r="H73" s="6">
        <v>395682</v>
      </c>
      <c r="I73" s="6">
        <v>469906</v>
      </c>
      <c r="J73" t="s">
        <v>32</v>
      </c>
      <c r="K73" s="8">
        <v>2</v>
      </c>
    </row>
    <row r="74" spans="1:11" x14ac:dyDescent="0.25">
      <c r="A74" t="s">
        <v>101</v>
      </c>
      <c r="B74" s="1">
        <v>45671</v>
      </c>
      <c r="C74" t="s">
        <v>38</v>
      </c>
      <c r="D74" t="s">
        <v>30</v>
      </c>
      <c r="E74">
        <v>334</v>
      </c>
      <c r="F74" t="s">
        <v>26</v>
      </c>
      <c r="G74" t="s">
        <v>20</v>
      </c>
      <c r="H74" s="6">
        <v>507786</v>
      </c>
      <c r="I74" s="6">
        <v>565173</v>
      </c>
      <c r="J74" t="s">
        <v>32</v>
      </c>
      <c r="K74" s="8">
        <v>2</v>
      </c>
    </row>
    <row r="75" spans="1:11" x14ac:dyDescent="0.25">
      <c r="A75" t="s">
        <v>102</v>
      </c>
      <c r="B75" s="1">
        <v>45733</v>
      </c>
      <c r="C75" t="s">
        <v>13</v>
      </c>
      <c r="D75" t="s">
        <v>22</v>
      </c>
      <c r="E75">
        <v>912</v>
      </c>
      <c r="F75" t="s">
        <v>46</v>
      </c>
      <c r="G75" t="s">
        <v>15</v>
      </c>
      <c r="H75" s="6">
        <v>593601</v>
      </c>
      <c r="I75" s="6">
        <v>637319</v>
      </c>
      <c r="J75" t="s">
        <v>16</v>
      </c>
      <c r="K75" s="8">
        <v>2</v>
      </c>
    </row>
    <row r="76" spans="1:11" x14ac:dyDescent="0.25">
      <c r="A76" t="s">
        <v>103</v>
      </c>
      <c r="B76" s="1">
        <v>45702</v>
      </c>
      <c r="C76" t="s">
        <v>22</v>
      </c>
      <c r="D76" t="s">
        <v>12</v>
      </c>
      <c r="E76">
        <v>347</v>
      </c>
      <c r="F76" t="s">
        <v>14</v>
      </c>
      <c r="G76" t="s">
        <v>15</v>
      </c>
      <c r="H76" s="6">
        <v>517452</v>
      </c>
      <c r="I76" s="6">
        <v>596406</v>
      </c>
      <c r="J76" t="s">
        <v>16</v>
      </c>
      <c r="K76" s="8">
        <v>5</v>
      </c>
    </row>
    <row r="77" spans="1:11" x14ac:dyDescent="0.25">
      <c r="A77" t="s">
        <v>104</v>
      </c>
      <c r="B77" s="1">
        <v>45720</v>
      </c>
      <c r="C77" t="s">
        <v>23</v>
      </c>
      <c r="D77" t="s">
        <v>18</v>
      </c>
      <c r="E77">
        <v>1136</v>
      </c>
      <c r="F77" t="s">
        <v>26</v>
      </c>
      <c r="G77" t="s">
        <v>20</v>
      </c>
      <c r="H77" s="6">
        <v>439499</v>
      </c>
      <c r="I77" s="6">
        <v>434224</v>
      </c>
      <c r="J77" t="s">
        <v>32</v>
      </c>
      <c r="K77" s="8">
        <v>1</v>
      </c>
    </row>
    <row r="78" spans="1:11" x14ac:dyDescent="0.25">
      <c r="A78" t="s">
        <v>105</v>
      </c>
      <c r="B78" s="1">
        <v>45736</v>
      </c>
      <c r="C78" t="s">
        <v>12</v>
      </c>
      <c r="D78" t="s">
        <v>38</v>
      </c>
      <c r="E78">
        <v>413</v>
      </c>
      <c r="F78" t="s">
        <v>26</v>
      </c>
      <c r="G78" t="s">
        <v>15</v>
      </c>
      <c r="H78" s="6">
        <v>328320</v>
      </c>
      <c r="I78" s="6">
        <v>301406</v>
      </c>
      <c r="J78" t="s">
        <v>32</v>
      </c>
      <c r="K78" s="8">
        <v>6</v>
      </c>
    </row>
    <row r="79" spans="1:11" x14ac:dyDescent="0.25">
      <c r="A79" t="s">
        <v>106</v>
      </c>
      <c r="B79" s="1">
        <v>45693</v>
      </c>
      <c r="C79" t="s">
        <v>30</v>
      </c>
      <c r="D79" t="s">
        <v>22</v>
      </c>
      <c r="E79">
        <v>760</v>
      </c>
      <c r="F79" t="s">
        <v>19</v>
      </c>
      <c r="G79" t="s">
        <v>15</v>
      </c>
      <c r="H79" s="6">
        <v>546542</v>
      </c>
      <c r="I79" s="6">
        <v>528719</v>
      </c>
      <c r="J79" t="s">
        <v>16</v>
      </c>
      <c r="K79" s="8">
        <v>7</v>
      </c>
    </row>
    <row r="80" spans="1:11" x14ac:dyDescent="0.25">
      <c r="A80" t="s">
        <v>107</v>
      </c>
      <c r="B80" s="1">
        <v>45681</v>
      </c>
      <c r="C80" t="s">
        <v>30</v>
      </c>
      <c r="D80" t="s">
        <v>13</v>
      </c>
      <c r="E80">
        <v>788</v>
      </c>
      <c r="F80" t="s">
        <v>19</v>
      </c>
      <c r="G80" t="s">
        <v>15</v>
      </c>
      <c r="H80" s="6">
        <v>115047</v>
      </c>
      <c r="I80" s="6">
        <v>129836</v>
      </c>
      <c r="J80" t="s">
        <v>32</v>
      </c>
      <c r="K80" s="8">
        <v>7</v>
      </c>
    </row>
    <row r="81" spans="1:11" x14ac:dyDescent="0.25">
      <c r="A81" t="s">
        <v>108</v>
      </c>
      <c r="B81" s="1">
        <v>45729</v>
      </c>
      <c r="C81" t="s">
        <v>30</v>
      </c>
      <c r="D81" t="s">
        <v>13</v>
      </c>
      <c r="E81">
        <v>797</v>
      </c>
      <c r="F81" t="s">
        <v>26</v>
      </c>
      <c r="G81" t="s">
        <v>15</v>
      </c>
      <c r="H81" s="6">
        <v>246621</v>
      </c>
      <c r="I81" s="6">
        <v>312006</v>
      </c>
      <c r="J81" t="s">
        <v>32</v>
      </c>
      <c r="K81" s="8">
        <v>5</v>
      </c>
    </row>
    <row r="82" spans="1:11" x14ac:dyDescent="0.25">
      <c r="A82" t="s">
        <v>109</v>
      </c>
      <c r="B82" s="1">
        <v>45746</v>
      </c>
      <c r="C82" t="s">
        <v>13</v>
      </c>
      <c r="D82" t="s">
        <v>18</v>
      </c>
      <c r="E82">
        <v>594</v>
      </c>
      <c r="F82" t="s">
        <v>31</v>
      </c>
      <c r="G82" t="s">
        <v>20</v>
      </c>
      <c r="H82" s="6">
        <v>477526</v>
      </c>
      <c r="I82" s="6">
        <v>480797</v>
      </c>
      <c r="J82" t="s">
        <v>16</v>
      </c>
      <c r="K82" s="8">
        <v>4</v>
      </c>
    </row>
    <row r="83" spans="1:11" x14ac:dyDescent="0.25">
      <c r="A83" t="s">
        <v>110</v>
      </c>
      <c r="B83" s="1">
        <v>45686</v>
      </c>
      <c r="C83" t="s">
        <v>30</v>
      </c>
      <c r="D83" t="s">
        <v>18</v>
      </c>
      <c r="E83">
        <v>1017</v>
      </c>
      <c r="F83" t="s">
        <v>14</v>
      </c>
      <c r="G83" t="s">
        <v>15</v>
      </c>
      <c r="H83" s="6">
        <v>515725</v>
      </c>
      <c r="I83" s="6">
        <v>467985</v>
      </c>
      <c r="J83" t="s">
        <v>32</v>
      </c>
      <c r="K83" s="8">
        <v>1</v>
      </c>
    </row>
    <row r="84" spans="1:11" x14ac:dyDescent="0.25">
      <c r="A84" t="s">
        <v>111</v>
      </c>
      <c r="B84" s="1">
        <v>45712</v>
      </c>
      <c r="C84" t="s">
        <v>23</v>
      </c>
      <c r="D84" t="s">
        <v>18</v>
      </c>
      <c r="E84">
        <v>855</v>
      </c>
      <c r="F84" t="s">
        <v>31</v>
      </c>
      <c r="G84" t="s">
        <v>15</v>
      </c>
      <c r="H84" s="6">
        <v>348124</v>
      </c>
      <c r="I84" s="6">
        <v>370668</v>
      </c>
      <c r="J84" t="s">
        <v>32</v>
      </c>
      <c r="K84" s="8">
        <v>5</v>
      </c>
    </row>
    <row r="85" spans="1:11" x14ac:dyDescent="0.25">
      <c r="A85" t="s">
        <v>112</v>
      </c>
      <c r="B85" s="1">
        <v>45682</v>
      </c>
      <c r="C85" t="s">
        <v>18</v>
      </c>
      <c r="D85" t="s">
        <v>25</v>
      </c>
      <c r="E85">
        <v>654</v>
      </c>
      <c r="F85" t="s">
        <v>14</v>
      </c>
      <c r="G85" t="s">
        <v>15</v>
      </c>
      <c r="H85" s="6">
        <v>260758</v>
      </c>
      <c r="I85" s="6">
        <v>243709</v>
      </c>
      <c r="J85" t="s">
        <v>16</v>
      </c>
      <c r="K85" s="8">
        <v>2</v>
      </c>
    </row>
    <row r="86" spans="1:11" x14ac:dyDescent="0.25">
      <c r="A86" t="s">
        <v>113</v>
      </c>
      <c r="B86" s="1">
        <v>45733</v>
      </c>
      <c r="C86" t="s">
        <v>18</v>
      </c>
      <c r="D86" t="s">
        <v>12</v>
      </c>
      <c r="E86">
        <v>492</v>
      </c>
      <c r="F86" t="s">
        <v>14</v>
      </c>
      <c r="G86" t="s">
        <v>20</v>
      </c>
      <c r="H86" s="6">
        <v>213447</v>
      </c>
      <c r="I86" s="6">
        <v>260257</v>
      </c>
      <c r="J86" t="s">
        <v>32</v>
      </c>
      <c r="K86" s="8">
        <v>4</v>
      </c>
    </row>
    <row r="87" spans="1:11" x14ac:dyDescent="0.25">
      <c r="A87" t="s">
        <v>114</v>
      </c>
      <c r="B87" s="1">
        <v>45748</v>
      </c>
      <c r="C87" t="s">
        <v>38</v>
      </c>
      <c r="D87" t="s">
        <v>12</v>
      </c>
      <c r="E87">
        <v>565</v>
      </c>
      <c r="F87" t="s">
        <v>31</v>
      </c>
      <c r="G87" t="s">
        <v>15</v>
      </c>
      <c r="H87" s="6">
        <v>289205</v>
      </c>
      <c r="I87" s="6">
        <v>262724</v>
      </c>
      <c r="J87" t="s">
        <v>16</v>
      </c>
      <c r="K87" s="8">
        <v>3</v>
      </c>
    </row>
    <row r="88" spans="1:11" x14ac:dyDescent="0.25">
      <c r="A88" t="s">
        <v>115</v>
      </c>
      <c r="B88" s="1">
        <v>45671</v>
      </c>
      <c r="C88" t="s">
        <v>25</v>
      </c>
      <c r="D88" t="s">
        <v>22</v>
      </c>
      <c r="E88">
        <v>698</v>
      </c>
      <c r="F88" t="s">
        <v>43</v>
      </c>
      <c r="G88" t="s">
        <v>20</v>
      </c>
      <c r="H88" s="6">
        <v>465647</v>
      </c>
      <c r="I88" s="6">
        <v>539390</v>
      </c>
      <c r="J88" t="s">
        <v>32</v>
      </c>
      <c r="K88" s="8">
        <v>2</v>
      </c>
    </row>
    <row r="89" spans="1:11" x14ac:dyDescent="0.25">
      <c r="A89" t="s">
        <v>116</v>
      </c>
      <c r="B89" s="1">
        <v>45690</v>
      </c>
      <c r="C89" t="s">
        <v>13</v>
      </c>
      <c r="D89" t="s">
        <v>18</v>
      </c>
      <c r="E89">
        <v>1080</v>
      </c>
      <c r="F89" t="s">
        <v>26</v>
      </c>
      <c r="G89" t="s">
        <v>15</v>
      </c>
      <c r="H89" s="6">
        <v>330932</v>
      </c>
      <c r="I89" s="6">
        <v>325589</v>
      </c>
      <c r="J89" t="s">
        <v>16</v>
      </c>
      <c r="K89" s="8">
        <v>2</v>
      </c>
    </row>
    <row r="90" spans="1:11" x14ac:dyDescent="0.25">
      <c r="A90" t="s">
        <v>117</v>
      </c>
      <c r="B90" s="1">
        <v>45677</v>
      </c>
      <c r="C90" t="s">
        <v>30</v>
      </c>
      <c r="D90" t="s">
        <v>12</v>
      </c>
      <c r="E90">
        <v>1107</v>
      </c>
      <c r="F90" t="s">
        <v>43</v>
      </c>
      <c r="G90" t="s">
        <v>15</v>
      </c>
      <c r="H90" s="6">
        <v>138840</v>
      </c>
      <c r="I90" s="6">
        <v>164471</v>
      </c>
      <c r="J90" t="s">
        <v>16</v>
      </c>
      <c r="K90" s="8">
        <v>6</v>
      </c>
    </row>
    <row r="91" spans="1:11" x14ac:dyDescent="0.25">
      <c r="A91" t="s">
        <v>118</v>
      </c>
      <c r="B91" s="1">
        <v>45735</v>
      </c>
      <c r="C91" t="s">
        <v>25</v>
      </c>
      <c r="D91" t="s">
        <v>30</v>
      </c>
      <c r="E91">
        <v>274</v>
      </c>
      <c r="F91" t="s">
        <v>46</v>
      </c>
      <c r="G91" t="s">
        <v>15</v>
      </c>
      <c r="H91" s="6">
        <v>230123</v>
      </c>
      <c r="I91" s="6">
        <v>195648</v>
      </c>
      <c r="J91" t="s">
        <v>32</v>
      </c>
      <c r="K91" s="8">
        <v>5</v>
      </c>
    </row>
    <row r="92" spans="1:11" x14ac:dyDescent="0.25">
      <c r="A92" t="s">
        <v>119</v>
      </c>
      <c r="B92" s="1">
        <v>45697</v>
      </c>
      <c r="C92" t="s">
        <v>22</v>
      </c>
      <c r="D92" t="s">
        <v>30</v>
      </c>
      <c r="E92">
        <v>1022</v>
      </c>
      <c r="F92" t="s">
        <v>46</v>
      </c>
      <c r="G92" t="s">
        <v>15</v>
      </c>
      <c r="H92" s="6">
        <v>576317</v>
      </c>
      <c r="I92" s="6">
        <v>584345</v>
      </c>
      <c r="J92" t="s">
        <v>32</v>
      </c>
      <c r="K92" s="8">
        <v>3</v>
      </c>
    </row>
    <row r="93" spans="1:11" x14ac:dyDescent="0.25">
      <c r="A93" t="s">
        <v>120</v>
      </c>
      <c r="B93" s="1">
        <v>45678</v>
      </c>
      <c r="C93" t="s">
        <v>13</v>
      </c>
      <c r="D93" t="s">
        <v>18</v>
      </c>
      <c r="E93">
        <v>525</v>
      </c>
      <c r="F93" t="s">
        <v>14</v>
      </c>
      <c r="G93" t="s">
        <v>20</v>
      </c>
      <c r="H93" s="6">
        <v>427950</v>
      </c>
      <c r="I93" s="6">
        <v>405609</v>
      </c>
      <c r="J93" t="s">
        <v>16</v>
      </c>
      <c r="K93" s="8">
        <v>3</v>
      </c>
    </row>
    <row r="94" spans="1:11" x14ac:dyDescent="0.25">
      <c r="A94" t="s">
        <v>121</v>
      </c>
      <c r="B94" s="1">
        <v>45695</v>
      </c>
      <c r="C94" t="s">
        <v>22</v>
      </c>
      <c r="D94" t="s">
        <v>13</v>
      </c>
      <c r="E94">
        <v>420</v>
      </c>
      <c r="F94" t="s">
        <v>46</v>
      </c>
      <c r="G94" t="s">
        <v>20</v>
      </c>
      <c r="H94" s="6">
        <v>101402</v>
      </c>
      <c r="I94" s="6">
        <v>104947</v>
      </c>
      <c r="J94" t="s">
        <v>32</v>
      </c>
      <c r="K94" s="8">
        <v>4</v>
      </c>
    </row>
    <row r="95" spans="1:11" x14ac:dyDescent="0.25">
      <c r="A95" t="s">
        <v>122</v>
      </c>
      <c r="B95" s="1">
        <v>45738</v>
      </c>
      <c r="C95" t="s">
        <v>13</v>
      </c>
      <c r="D95" t="s">
        <v>25</v>
      </c>
      <c r="E95">
        <v>1029</v>
      </c>
      <c r="F95" t="s">
        <v>26</v>
      </c>
      <c r="G95" t="s">
        <v>15</v>
      </c>
      <c r="H95" s="6">
        <v>137318</v>
      </c>
      <c r="I95" s="6">
        <v>177414</v>
      </c>
      <c r="J95" t="s">
        <v>32</v>
      </c>
      <c r="K95" s="8">
        <v>2</v>
      </c>
    </row>
    <row r="96" spans="1:11" x14ac:dyDescent="0.25">
      <c r="A96" t="s">
        <v>123</v>
      </c>
      <c r="B96" s="1">
        <v>45667</v>
      </c>
      <c r="C96" t="s">
        <v>22</v>
      </c>
      <c r="D96" t="s">
        <v>38</v>
      </c>
      <c r="E96">
        <v>405</v>
      </c>
      <c r="F96" t="s">
        <v>43</v>
      </c>
      <c r="G96" t="s">
        <v>20</v>
      </c>
      <c r="H96" s="6">
        <v>576269</v>
      </c>
      <c r="I96" s="6">
        <v>561085</v>
      </c>
      <c r="J96" t="s">
        <v>16</v>
      </c>
      <c r="K96" s="8">
        <v>7</v>
      </c>
    </row>
    <row r="97" spans="1:11" x14ac:dyDescent="0.25">
      <c r="A97" t="s">
        <v>124</v>
      </c>
      <c r="B97" s="1">
        <v>45747</v>
      </c>
      <c r="C97" t="s">
        <v>13</v>
      </c>
      <c r="D97" t="s">
        <v>25</v>
      </c>
      <c r="E97">
        <v>999</v>
      </c>
      <c r="F97" t="s">
        <v>26</v>
      </c>
      <c r="G97" t="s">
        <v>15</v>
      </c>
      <c r="H97" s="6">
        <v>165197</v>
      </c>
      <c r="I97" s="6">
        <v>176630</v>
      </c>
      <c r="J97" t="s">
        <v>32</v>
      </c>
      <c r="K97" s="8">
        <v>6</v>
      </c>
    </row>
    <row r="98" spans="1:11" x14ac:dyDescent="0.25">
      <c r="A98" t="s">
        <v>125</v>
      </c>
      <c r="B98" s="1">
        <v>45699</v>
      </c>
      <c r="C98" t="s">
        <v>23</v>
      </c>
      <c r="D98" t="s">
        <v>25</v>
      </c>
      <c r="E98">
        <v>996</v>
      </c>
      <c r="F98" t="s">
        <v>46</v>
      </c>
      <c r="G98" t="s">
        <v>15</v>
      </c>
      <c r="H98" s="6">
        <v>142174</v>
      </c>
      <c r="I98" s="6">
        <v>170559</v>
      </c>
      <c r="J98" t="s">
        <v>32</v>
      </c>
      <c r="K98" s="8">
        <v>1</v>
      </c>
    </row>
    <row r="99" spans="1:11" x14ac:dyDescent="0.25">
      <c r="A99" t="s">
        <v>126</v>
      </c>
      <c r="B99" s="1">
        <v>45731</v>
      </c>
      <c r="C99" t="s">
        <v>38</v>
      </c>
      <c r="D99" t="s">
        <v>12</v>
      </c>
      <c r="E99">
        <v>142</v>
      </c>
      <c r="F99" t="s">
        <v>43</v>
      </c>
      <c r="G99" t="s">
        <v>20</v>
      </c>
      <c r="H99" s="6">
        <v>500954</v>
      </c>
      <c r="I99" s="6">
        <v>539071</v>
      </c>
      <c r="J99" t="s">
        <v>32</v>
      </c>
      <c r="K99" s="8">
        <v>7</v>
      </c>
    </row>
    <row r="100" spans="1:11" x14ac:dyDescent="0.25">
      <c r="A100" t="s">
        <v>127</v>
      </c>
      <c r="B100" s="1">
        <v>45732</v>
      </c>
      <c r="C100" t="s">
        <v>13</v>
      </c>
      <c r="D100" t="s">
        <v>30</v>
      </c>
      <c r="E100">
        <v>1162</v>
      </c>
      <c r="F100" t="s">
        <v>31</v>
      </c>
      <c r="G100" t="s">
        <v>15</v>
      </c>
      <c r="H100" s="6">
        <v>441578</v>
      </c>
      <c r="I100" s="6">
        <v>449541</v>
      </c>
      <c r="J100" t="s">
        <v>16</v>
      </c>
      <c r="K100" s="8">
        <v>3</v>
      </c>
    </row>
    <row r="101" spans="1:11" x14ac:dyDescent="0.25">
      <c r="A101" t="s">
        <v>128</v>
      </c>
      <c r="B101" s="1">
        <v>45743</v>
      </c>
      <c r="C101" t="s">
        <v>23</v>
      </c>
      <c r="D101" t="s">
        <v>18</v>
      </c>
      <c r="E101">
        <v>1062</v>
      </c>
      <c r="F101" t="s">
        <v>19</v>
      </c>
      <c r="G101" t="s">
        <v>20</v>
      </c>
      <c r="H101" s="6">
        <v>282431</v>
      </c>
      <c r="I101" s="6">
        <v>285954</v>
      </c>
      <c r="J101" t="s">
        <v>32</v>
      </c>
      <c r="K101" s="8">
        <v>3</v>
      </c>
    </row>
    <row r="102" spans="1:11" x14ac:dyDescent="0.25">
      <c r="A102" t="s">
        <v>129</v>
      </c>
      <c r="B102" s="1">
        <v>45728</v>
      </c>
      <c r="C102" t="s">
        <v>12</v>
      </c>
      <c r="D102" t="s">
        <v>30</v>
      </c>
      <c r="E102">
        <v>943</v>
      </c>
      <c r="F102" t="s">
        <v>31</v>
      </c>
      <c r="G102" t="s">
        <v>15</v>
      </c>
      <c r="H102" s="6">
        <v>463684</v>
      </c>
      <c r="I102" s="6">
        <v>478626</v>
      </c>
      <c r="J102" t="s">
        <v>32</v>
      </c>
      <c r="K102" s="8">
        <v>3</v>
      </c>
    </row>
    <row r="103" spans="1:11" x14ac:dyDescent="0.25">
      <c r="A103" t="s">
        <v>130</v>
      </c>
      <c r="B103" s="1">
        <v>45723</v>
      </c>
      <c r="C103" t="s">
        <v>13</v>
      </c>
      <c r="D103" t="s">
        <v>38</v>
      </c>
      <c r="E103">
        <v>616</v>
      </c>
      <c r="F103" t="s">
        <v>43</v>
      </c>
      <c r="G103" t="s">
        <v>15</v>
      </c>
      <c r="H103" s="6">
        <v>269488</v>
      </c>
      <c r="I103" s="6">
        <v>234682</v>
      </c>
      <c r="J103" t="s">
        <v>32</v>
      </c>
      <c r="K103" s="8">
        <v>7</v>
      </c>
    </row>
    <row r="104" spans="1:11" x14ac:dyDescent="0.25">
      <c r="A104" t="s">
        <v>131</v>
      </c>
      <c r="B104" s="1">
        <v>45737</v>
      </c>
      <c r="C104" t="s">
        <v>13</v>
      </c>
      <c r="D104" t="s">
        <v>23</v>
      </c>
      <c r="E104">
        <v>946</v>
      </c>
      <c r="F104" t="s">
        <v>46</v>
      </c>
      <c r="G104" t="s">
        <v>15</v>
      </c>
      <c r="H104" s="6">
        <v>128418</v>
      </c>
      <c r="I104" s="6">
        <v>103004</v>
      </c>
      <c r="J104" t="s">
        <v>32</v>
      </c>
      <c r="K104" s="8">
        <v>5</v>
      </c>
    </row>
    <row r="105" spans="1:11" x14ac:dyDescent="0.25">
      <c r="A105" t="s">
        <v>132</v>
      </c>
      <c r="B105" s="1">
        <v>45714</v>
      </c>
      <c r="C105" t="s">
        <v>30</v>
      </c>
      <c r="D105" t="s">
        <v>18</v>
      </c>
      <c r="E105">
        <v>516</v>
      </c>
      <c r="F105" t="s">
        <v>19</v>
      </c>
      <c r="G105" t="s">
        <v>20</v>
      </c>
      <c r="H105" s="6">
        <v>240014</v>
      </c>
      <c r="I105" s="6">
        <v>262001</v>
      </c>
      <c r="J105" t="s">
        <v>32</v>
      </c>
      <c r="K105" s="8">
        <v>2</v>
      </c>
    </row>
    <row r="106" spans="1:11" x14ac:dyDescent="0.25">
      <c r="A106" t="s">
        <v>133</v>
      </c>
      <c r="B106" s="1">
        <v>45669</v>
      </c>
      <c r="C106" t="s">
        <v>30</v>
      </c>
      <c r="D106" t="s">
        <v>12</v>
      </c>
      <c r="E106">
        <v>424</v>
      </c>
      <c r="F106" t="s">
        <v>43</v>
      </c>
      <c r="G106" t="s">
        <v>20</v>
      </c>
      <c r="H106" s="6">
        <v>262922</v>
      </c>
      <c r="I106" s="6">
        <v>285121</v>
      </c>
      <c r="J106" t="s">
        <v>32</v>
      </c>
      <c r="K106" s="8">
        <v>1</v>
      </c>
    </row>
    <row r="107" spans="1:11" x14ac:dyDescent="0.25">
      <c r="A107" t="s">
        <v>134</v>
      </c>
      <c r="B107" s="1">
        <v>45695</v>
      </c>
      <c r="C107" t="s">
        <v>22</v>
      </c>
      <c r="D107" t="s">
        <v>30</v>
      </c>
      <c r="E107">
        <v>340</v>
      </c>
      <c r="F107" t="s">
        <v>43</v>
      </c>
      <c r="G107" t="s">
        <v>15</v>
      </c>
      <c r="H107" s="6">
        <v>439586</v>
      </c>
      <c r="I107" s="6">
        <v>498656</v>
      </c>
      <c r="J107" t="s">
        <v>32</v>
      </c>
      <c r="K107" s="8">
        <v>2</v>
      </c>
    </row>
    <row r="108" spans="1:11" x14ac:dyDescent="0.25">
      <c r="A108" t="s">
        <v>135</v>
      </c>
      <c r="B108" s="1">
        <v>45682</v>
      </c>
      <c r="C108" t="s">
        <v>38</v>
      </c>
      <c r="D108" t="s">
        <v>22</v>
      </c>
      <c r="E108">
        <v>599</v>
      </c>
      <c r="F108" t="s">
        <v>19</v>
      </c>
      <c r="G108" t="s">
        <v>15</v>
      </c>
      <c r="H108" s="6">
        <v>339487</v>
      </c>
      <c r="I108" s="6">
        <v>361742</v>
      </c>
      <c r="J108" t="s">
        <v>32</v>
      </c>
      <c r="K108" s="8">
        <v>2</v>
      </c>
    </row>
    <row r="109" spans="1:11" x14ac:dyDescent="0.25">
      <c r="A109" t="s">
        <v>136</v>
      </c>
      <c r="B109" s="1">
        <v>45658</v>
      </c>
      <c r="C109" t="s">
        <v>25</v>
      </c>
      <c r="D109" t="s">
        <v>30</v>
      </c>
      <c r="E109">
        <v>949</v>
      </c>
      <c r="F109" t="s">
        <v>43</v>
      </c>
      <c r="G109" t="s">
        <v>15</v>
      </c>
      <c r="H109" s="6">
        <v>278192</v>
      </c>
      <c r="I109" s="6">
        <v>350645</v>
      </c>
      <c r="J109" t="s">
        <v>32</v>
      </c>
      <c r="K109" s="8">
        <v>7</v>
      </c>
    </row>
    <row r="110" spans="1:11" x14ac:dyDescent="0.25">
      <c r="A110" t="s">
        <v>137</v>
      </c>
      <c r="B110" s="1">
        <v>45700</v>
      </c>
      <c r="C110" t="s">
        <v>38</v>
      </c>
      <c r="D110" t="s">
        <v>23</v>
      </c>
      <c r="E110">
        <v>404</v>
      </c>
      <c r="F110" t="s">
        <v>26</v>
      </c>
      <c r="G110" t="s">
        <v>15</v>
      </c>
      <c r="H110" s="6">
        <v>334119</v>
      </c>
      <c r="I110" s="6">
        <v>354711</v>
      </c>
      <c r="J110" t="s">
        <v>32</v>
      </c>
      <c r="K110" s="8">
        <v>4</v>
      </c>
    </row>
    <row r="111" spans="1:11" x14ac:dyDescent="0.25">
      <c r="A111" t="s">
        <v>138</v>
      </c>
      <c r="B111" s="1">
        <v>45663</v>
      </c>
      <c r="C111" t="s">
        <v>23</v>
      </c>
      <c r="D111" t="s">
        <v>22</v>
      </c>
      <c r="E111">
        <v>589</v>
      </c>
      <c r="F111" t="s">
        <v>26</v>
      </c>
      <c r="G111" t="s">
        <v>20</v>
      </c>
      <c r="H111" s="6">
        <v>399786</v>
      </c>
      <c r="I111" s="6">
        <v>399982</v>
      </c>
      <c r="J111" t="s">
        <v>32</v>
      </c>
      <c r="K111" s="8">
        <v>2</v>
      </c>
    </row>
    <row r="112" spans="1:11" x14ac:dyDescent="0.25">
      <c r="A112" t="s">
        <v>139</v>
      </c>
      <c r="B112" s="1">
        <v>45721</v>
      </c>
      <c r="C112" t="s">
        <v>18</v>
      </c>
      <c r="D112" t="s">
        <v>23</v>
      </c>
      <c r="E112">
        <v>890</v>
      </c>
      <c r="F112" t="s">
        <v>19</v>
      </c>
      <c r="G112" t="s">
        <v>15</v>
      </c>
      <c r="H112" s="6">
        <v>447964</v>
      </c>
      <c r="I112" s="6">
        <v>501824</v>
      </c>
      <c r="J112" t="s">
        <v>16</v>
      </c>
      <c r="K112" s="8">
        <v>7</v>
      </c>
    </row>
    <row r="113" spans="1:11" x14ac:dyDescent="0.25">
      <c r="A113" t="s">
        <v>140</v>
      </c>
      <c r="B113" s="1">
        <v>45725</v>
      </c>
      <c r="C113" t="s">
        <v>13</v>
      </c>
      <c r="D113" t="s">
        <v>25</v>
      </c>
      <c r="E113">
        <v>305</v>
      </c>
      <c r="F113" t="s">
        <v>46</v>
      </c>
      <c r="G113" t="s">
        <v>15</v>
      </c>
      <c r="H113" s="6">
        <v>558327</v>
      </c>
      <c r="I113" s="6">
        <v>619088</v>
      </c>
      <c r="J113" t="s">
        <v>16</v>
      </c>
      <c r="K113" s="8">
        <v>4</v>
      </c>
    </row>
    <row r="114" spans="1:11" x14ac:dyDescent="0.25">
      <c r="A114" t="s">
        <v>141</v>
      </c>
      <c r="B114" s="1">
        <v>45718</v>
      </c>
      <c r="C114" t="s">
        <v>30</v>
      </c>
      <c r="D114" t="s">
        <v>12</v>
      </c>
      <c r="E114">
        <v>939</v>
      </c>
      <c r="F114" t="s">
        <v>14</v>
      </c>
      <c r="G114" t="s">
        <v>20</v>
      </c>
      <c r="H114" s="6">
        <v>556619</v>
      </c>
      <c r="I114" s="6">
        <v>592442</v>
      </c>
      <c r="J114" t="s">
        <v>16</v>
      </c>
      <c r="K114" s="8">
        <v>2</v>
      </c>
    </row>
    <row r="115" spans="1:11" x14ac:dyDescent="0.25">
      <c r="A115" t="s">
        <v>142</v>
      </c>
      <c r="B115" s="1">
        <v>45698</v>
      </c>
      <c r="C115" t="s">
        <v>38</v>
      </c>
      <c r="D115" t="s">
        <v>25</v>
      </c>
      <c r="E115">
        <v>264</v>
      </c>
      <c r="F115" t="s">
        <v>46</v>
      </c>
      <c r="G115" t="s">
        <v>15</v>
      </c>
      <c r="H115" s="6">
        <v>546570</v>
      </c>
      <c r="I115" s="6">
        <v>539635</v>
      </c>
      <c r="J115" t="s">
        <v>32</v>
      </c>
      <c r="K115" s="8">
        <v>7</v>
      </c>
    </row>
    <row r="116" spans="1:11" x14ac:dyDescent="0.25">
      <c r="A116" t="s">
        <v>143</v>
      </c>
      <c r="B116" s="1">
        <v>45687</v>
      </c>
      <c r="C116" t="s">
        <v>30</v>
      </c>
      <c r="D116" t="s">
        <v>23</v>
      </c>
      <c r="E116">
        <v>240</v>
      </c>
      <c r="F116" t="s">
        <v>46</v>
      </c>
      <c r="G116" t="s">
        <v>20</v>
      </c>
      <c r="H116" s="6">
        <v>223087</v>
      </c>
      <c r="I116" s="6">
        <v>255814</v>
      </c>
      <c r="J116" t="s">
        <v>32</v>
      </c>
      <c r="K116" s="8">
        <v>6</v>
      </c>
    </row>
    <row r="117" spans="1:11" x14ac:dyDescent="0.25">
      <c r="A117" t="s">
        <v>144</v>
      </c>
      <c r="B117" s="1">
        <v>45663</v>
      </c>
      <c r="C117" t="s">
        <v>12</v>
      </c>
      <c r="D117" t="s">
        <v>38</v>
      </c>
      <c r="E117">
        <v>1008</v>
      </c>
      <c r="F117" t="s">
        <v>43</v>
      </c>
      <c r="G117" t="s">
        <v>20</v>
      </c>
      <c r="H117" s="6">
        <v>187223</v>
      </c>
      <c r="I117" s="6">
        <v>228187</v>
      </c>
      <c r="J117" t="s">
        <v>16</v>
      </c>
      <c r="K117" s="8">
        <v>3</v>
      </c>
    </row>
    <row r="118" spans="1:11" x14ac:dyDescent="0.25">
      <c r="A118" t="s">
        <v>145</v>
      </c>
      <c r="B118" s="1">
        <v>45725</v>
      </c>
      <c r="C118" t="s">
        <v>18</v>
      </c>
      <c r="D118" t="s">
        <v>30</v>
      </c>
      <c r="E118">
        <v>834</v>
      </c>
      <c r="F118" t="s">
        <v>43</v>
      </c>
      <c r="G118" t="s">
        <v>15</v>
      </c>
      <c r="H118" s="6">
        <v>296524</v>
      </c>
      <c r="I118" s="6">
        <v>302974</v>
      </c>
      <c r="J118" t="s">
        <v>16</v>
      </c>
      <c r="K118" s="8">
        <v>2</v>
      </c>
    </row>
    <row r="119" spans="1:11" x14ac:dyDescent="0.25">
      <c r="A119" t="s">
        <v>146</v>
      </c>
      <c r="B119" s="1">
        <v>45737</v>
      </c>
      <c r="C119" t="s">
        <v>23</v>
      </c>
      <c r="D119" t="s">
        <v>38</v>
      </c>
      <c r="E119">
        <v>448</v>
      </c>
      <c r="F119" t="s">
        <v>14</v>
      </c>
      <c r="G119" t="s">
        <v>20</v>
      </c>
      <c r="H119" s="6">
        <v>191786</v>
      </c>
      <c r="I119" s="6">
        <v>152136</v>
      </c>
      <c r="J119" t="s">
        <v>32</v>
      </c>
      <c r="K119" s="8">
        <v>5</v>
      </c>
    </row>
    <row r="120" spans="1:11" x14ac:dyDescent="0.25">
      <c r="A120" t="s">
        <v>147</v>
      </c>
      <c r="B120" s="1">
        <v>45690</v>
      </c>
      <c r="C120" t="s">
        <v>22</v>
      </c>
      <c r="D120" t="s">
        <v>38</v>
      </c>
      <c r="E120">
        <v>575</v>
      </c>
      <c r="F120" t="s">
        <v>46</v>
      </c>
      <c r="G120" t="s">
        <v>20</v>
      </c>
      <c r="H120" s="6">
        <v>341775</v>
      </c>
      <c r="I120" s="6">
        <v>375386</v>
      </c>
      <c r="J120" t="s">
        <v>32</v>
      </c>
      <c r="K120" s="8">
        <v>3</v>
      </c>
    </row>
    <row r="121" spans="1:11" x14ac:dyDescent="0.25">
      <c r="A121" t="s">
        <v>148</v>
      </c>
      <c r="B121" s="1">
        <v>45739</v>
      </c>
      <c r="C121" t="s">
        <v>13</v>
      </c>
      <c r="D121" t="s">
        <v>30</v>
      </c>
      <c r="E121">
        <v>423</v>
      </c>
      <c r="F121" t="s">
        <v>19</v>
      </c>
      <c r="G121" t="s">
        <v>15</v>
      </c>
      <c r="H121" s="6">
        <v>138724</v>
      </c>
      <c r="I121" s="6">
        <v>146622</v>
      </c>
      <c r="J121" t="s">
        <v>32</v>
      </c>
      <c r="K121" s="8">
        <v>3</v>
      </c>
    </row>
    <row r="122" spans="1:11" x14ac:dyDescent="0.25">
      <c r="A122" t="s">
        <v>149</v>
      </c>
      <c r="B122" s="1">
        <v>45671</v>
      </c>
      <c r="C122" t="s">
        <v>23</v>
      </c>
      <c r="D122" t="s">
        <v>18</v>
      </c>
      <c r="E122">
        <v>718</v>
      </c>
      <c r="F122" t="s">
        <v>26</v>
      </c>
      <c r="G122" t="s">
        <v>15</v>
      </c>
      <c r="H122" s="6">
        <v>204447</v>
      </c>
      <c r="I122" s="6">
        <v>204869</v>
      </c>
      <c r="J122" t="s">
        <v>32</v>
      </c>
      <c r="K122" s="8">
        <v>7</v>
      </c>
    </row>
    <row r="123" spans="1:11" x14ac:dyDescent="0.25">
      <c r="A123" t="s">
        <v>150</v>
      </c>
      <c r="B123" s="1">
        <v>45693</v>
      </c>
      <c r="C123" t="s">
        <v>22</v>
      </c>
      <c r="D123" t="s">
        <v>38</v>
      </c>
      <c r="E123">
        <v>705</v>
      </c>
      <c r="F123" t="s">
        <v>46</v>
      </c>
      <c r="G123" t="s">
        <v>15</v>
      </c>
      <c r="H123" s="6">
        <v>466623</v>
      </c>
      <c r="I123" s="6">
        <v>455319</v>
      </c>
      <c r="J123" t="s">
        <v>32</v>
      </c>
      <c r="K123" s="8">
        <v>1</v>
      </c>
    </row>
    <row r="124" spans="1:11" x14ac:dyDescent="0.25">
      <c r="A124" t="s">
        <v>151</v>
      </c>
      <c r="B124" s="1">
        <v>45735</v>
      </c>
      <c r="C124" t="s">
        <v>13</v>
      </c>
      <c r="D124" t="s">
        <v>18</v>
      </c>
      <c r="E124">
        <v>1117</v>
      </c>
      <c r="F124" t="s">
        <v>14</v>
      </c>
      <c r="G124" t="s">
        <v>20</v>
      </c>
      <c r="H124" s="6">
        <v>536647</v>
      </c>
      <c r="I124" s="6">
        <v>605156</v>
      </c>
      <c r="J124" t="s">
        <v>16</v>
      </c>
      <c r="K124" s="8">
        <v>3</v>
      </c>
    </row>
    <row r="125" spans="1:11" x14ac:dyDescent="0.25">
      <c r="A125" t="s">
        <v>152</v>
      </c>
      <c r="B125" s="1">
        <v>45738</v>
      </c>
      <c r="C125" t="s">
        <v>18</v>
      </c>
      <c r="D125" t="s">
        <v>13</v>
      </c>
      <c r="E125">
        <v>613</v>
      </c>
      <c r="F125" t="s">
        <v>14</v>
      </c>
      <c r="G125" t="s">
        <v>20</v>
      </c>
      <c r="H125" s="6">
        <v>455343</v>
      </c>
      <c r="I125" s="6">
        <v>504378</v>
      </c>
      <c r="J125" t="s">
        <v>16</v>
      </c>
      <c r="K125" s="8">
        <v>6</v>
      </c>
    </row>
    <row r="126" spans="1:11" x14ac:dyDescent="0.25">
      <c r="A126" t="s">
        <v>153</v>
      </c>
      <c r="B126" s="1">
        <v>45674</v>
      </c>
      <c r="C126" t="s">
        <v>12</v>
      </c>
      <c r="D126" t="s">
        <v>23</v>
      </c>
      <c r="E126">
        <v>732</v>
      </c>
      <c r="F126" t="s">
        <v>14</v>
      </c>
      <c r="G126" t="s">
        <v>20</v>
      </c>
      <c r="H126" s="6">
        <v>513459</v>
      </c>
      <c r="I126" s="6">
        <v>521238</v>
      </c>
      <c r="J126" t="s">
        <v>32</v>
      </c>
      <c r="K126" s="8">
        <v>1</v>
      </c>
    </row>
    <row r="127" spans="1:11" x14ac:dyDescent="0.25">
      <c r="A127" t="s">
        <v>154</v>
      </c>
      <c r="B127" s="1">
        <v>45725</v>
      </c>
      <c r="C127" t="s">
        <v>12</v>
      </c>
      <c r="D127" t="s">
        <v>22</v>
      </c>
      <c r="E127">
        <v>459</v>
      </c>
      <c r="F127" t="s">
        <v>26</v>
      </c>
      <c r="G127" t="s">
        <v>15</v>
      </c>
      <c r="H127" s="6">
        <v>205274</v>
      </c>
      <c r="I127" s="6">
        <v>172596</v>
      </c>
      <c r="J127" t="s">
        <v>32</v>
      </c>
      <c r="K127" s="8">
        <v>7</v>
      </c>
    </row>
    <row r="128" spans="1:11" x14ac:dyDescent="0.25">
      <c r="A128" t="s">
        <v>155</v>
      </c>
      <c r="B128" s="1">
        <v>45672</v>
      </c>
      <c r="C128" t="s">
        <v>38</v>
      </c>
      <c r="D128" t="s">
        <v>30</v>
      </c>
      <c r="E128">
        <v>1086</v>
      </c>
      <c r="F128" t="s">
        <v>31</v>
      </c>
      <c r="G128" t="s">
        <v>15</v>
      </c>
      <c r="H128" s="6">
        <v>522832</v>
      </c>
      <c r="I128" s="6">
        <v>511516</v>
      </c>
      <c r="J128" t="s">
        <v>32</v>
      </c>
      <c r="K128" s="8">
        <v>6</v>
      </c>
    </row>
    <row r="129" spans="1:11" x14ac:dyDescent="0.25">
      <c r="A129" t="s">
        <v>156</v>
      </c>
      <c r="B129" s="1">
        <v>45669</v>
      </c>
      <c r="C129" t="s">
        <v>30</v>
      </c>
      <c r="D129" t="s">
        <v>12</v>
      </c>
      <c r="E129">
        <v>913</v>
      </c>
      <c r="F129" t="s">
        <v>31</v>
      </c>
      <c r="G129" t="s">
        <v>20</v>
      </c>
      <c r="H129" s="6">
        <v>543413</v>
      </c>
      <c r="I129" s="6">
        <v>598871</v>
      </c>
      <c r="J129" t="s">
        <v>32</v>
      </c>
      <c r="K129" s="8">
        <v>5</v>
      </c>
    </row>
    <row r="130" spans="1:11" x14ac:dyDescent="0.25">
      <c r="A130" t="s">
        <v>157</v>
      </c>
      <c r="B130" s="1">
        <v>45732</v>
      </c>
      <c r="C130" t="s">
        <v>23</v>
      </c>
      <c r="D130" t="s">
        <v>12</v>
      </c>
      <c r="E130">
        <v>1031</v>
      </c>
      <c r="F130" t="s">
        <v>26</v>
      </c>
      <c r="G130" t="s">
        <v>20</v>
      </c>
      <c r="H130" s="6">
        <v>293245</v>
      </c>
      <c r="I130" s="6">
        <v>331433</v>
      </c>
      <c r="J130" t="s">
        <v>32</v>
      </c>
      <c r="K130" s="8">
        <v>6</v>
      </c>
    </row>
    <row r="131" spans="1:11" x14ac:dyDescent="0.25">
      <c r="A131" t="s">
        <v>158</v>
      </c>
      <c r="B131" s="1">
        <v>45737</v>
      </c>
      <c r="C131" t="s">
        <v>23</v>
      </c>
      <c r="D131" t="s">
        <v>30</v>
      </c>
      <c r="E131">
        <v>321</v>
      </c>
      <c r="F131" t="s">
        <v>14</v>
      </c>
      <c r="G131" t="s">
        <v>15</v>
      </c>
      <c r="H131" s="6">
        <v>453808</v>
      </c>
      <c r="I131" s="6">
        <v>434455</v>
      </c>
      <c r="J131" t="s">
        <v>16</v>
      </c>
      <c r="K131" s="8">
        <v>4</v>
      </c>
    </row>
    <row r="132" spans="1:11" x14ac:dyDescent="0.25">
      <c r="A132" t="s">
        <v>159</v>
      </c>
      <c r="B132" s="1">
        <v>45672</v>
      </c>
      <c r="C132" t="s">
        <v>18</v>
      </c>
      <c r="D132" t="s">
        <v>38</v>
      </c>
      <c r="E132">
        <v>1050</v>
      </c>
      <c r="F132" t="s">
        <v>31</v>
      </c>
      <c r="G132" t="s">
        <v>20</v>
      </c>
      <c r="H132" s="6">
        <v>576781</v>
      </c>
      <c r="I132" s="6">
        <v>618672</v>
      </c>
      <c r="J132" t="s">
        <v>32</v>
      </c>
      <c r="K132" s="8">
        <v>3</v>
      </c>
    </row>
    <row r="133" spans="1:11" x14ac:dyDescent="0.25">
      <c r="A133" t="s">
        <v>160</v>
      </c>
      <c r="B133" s="1">
        <v>45707</v>
      </c>
      <c r="C133" t="s">
        <v>25</v>
      </c>
      <c r="D133" t="s">
        <v>12</v>
      </c>
      <c r="E133">
        <v>1108</v>
      </c>
      <c r="F133" t="s">
        <v>43</v>
      </c>
      <c r="G133" t="s">
        <v>15</v>
      </c>
      <c r="H133" s="6">
        <v>160880</v>
      </c>
      <c r="I133" s="6">
        <v>123619</v>
      </c>
      <c r="J133" t="s">
        <v>16</v>
      </c>
      <c r="K133" s="8">
        <v>2</v>
      </c>
    </row>
    <row r="134" spans="1:11" x14ac:dyDescent="0.25">
      <c r="A134" t="s">
        <v>161</v>
      </c>
      <c r="B134" s="1">
        <v>45720</v>
      </c>
      <c r="C134" t="s">
        <v>30</v>
      </c>
      <c r="D134" t="s">
        <v>25</v>
      </c>
      <c r="E134">
        <v>416</v>
      </c>
      <c r="F134" t="s">
        <v>14</v>
      </c>
      <c r="G134" t="s">
        <v>15</v>
      </c>
      <c r="H134" s="6">
        <v>564211</v>
      </c>
      <c r="I134" s="6">
        <v>568590</v>
      </c>
      <c r="J134" t="s">
        <v>16</v>
      </c>
      <c r="K134" s="8">
        <v>6</v>
      </c>
    </row>
    <row r="135" spans="1:11" x14ac:dyDescent="0.25">
      <c r="A135" t="s">
        <v>162</v>
      </c>
      <c r="B135" s="1">
        <v>45670</v>
      </c>
      <c r="C135" t="s">
        <v>23</v>
      </c>
      <c r="D135" t="s">
        <v>25</v>
      </c>
      <c r="E135">
        <v>544</v>
      </c>
      <c r="F135" t="s">
        <v>43</v>
      </c>
      <c r="G135" t="s">
        <v>15</v>
      </c>
      <c r="H135" s="6">
        <v>332460</v>
      </c>
      <c r="I135" s="6">
        <v>340747</v>
      </c>
      <c r="J135" t="s">
        <v>32</v>
      </c>
      <c r="K135" s="8">
        <v>2</v>
      </c>
    </row>
    <row r="136" spans="1:11" x14ac:dyDescent="0.25">
      <c r="A136" t="s">
        <v>163</v>
      </c>
      <c r="B136" s="1">
        <v>45716</v>
      </c>
      <c r="C136" t="s">
        <v>18</v>
      </c>
      <c r="D136" t="s">
        <v>38</v>
      </c>
      <c r="E136">
        <v>224</v>
      </c>
      <c r="F136" t="s">
        <v>14</v>
      </c>
      <c r="G136" t="s">
        <v>15</v>
      </c>
      <c r="H136" s="6">
        <v>308739</v>
      </c>
      <c r="I136" s="6">
        <v>294899</v>
      </c>
      <c r="J136" t="s">
        <v>16</v>
      </c>
      <c r="K136" s="8">
        <v>2</v>
      </c>
    </row>
    <row r="137" spans="1:11" x14ac:dyDescent="0.25">
      <c r="A137" t="s">
        <v>164</v>
      </c>
      <c r="B137" s="1">
        <v>45730</v>
      </c>
      <c r="C137" t="s">
        <v>12</v>
      </c>
      <c r="D137" t="s">
        <v>23</v>
      </c>
      <c r="E137">
        <v>203</v>
      </c>
      <c r="F137" t="s">
        <v>31</v>
      </c>
      <c r="G137" t="s">
        <v>20</v>
      </c>
      <c r="H137" s="6">
        <v>512506</v>
      </c>
      <c r="I137" s="6">
        <v>506219</v>
      </c>
      <c r="J137" t="s">
        <v>16</v>
      </c>
      <c r="K137" s="8">
        <v>2</v>
      </c>
    </row>
    <row r="138" spans="1:11" x14ac:dyDescent="0.25">
      <c r="A138" t="s">
        <v>165</v>
      </c>
      <c r="B138" s="1">
        <v>45676</v>
      </c>
      <c r="C138" t="s">
        <v>22</v>
      </c>
      <c r="D138" t="s">
        <v>12</v>
      </c>
      <c r="E138">
        <v>542</v>
      </c>
      <c r="F138" t="s">
        <v>46</v>
      </c>
      <c r="G138" t="s">
        <v>20</v>
      </c>
      <c r="H138" s="6">
        <v>526273</v>
      </c>
      <c r="I138" s="6">
        <v>590265</v>
      </c>
      <c r="J138" t="s">
        <v>32</v>
      </c>
      <c r="K138" s="8">
        <v>2</v>
      </c>
    </row>
    <row r="139" spans="1:11" x14ac:dyDescent="0.25">
      <c r="A139" t="s">
        <v>166</v>
      </c>
      <c r="B139" s="1">
        <v>45674</v>
      </c>
      <c r="C139" t="s">
        <v>13</v>
      </c>
      <c r="D139" t="s">
        <v>22</v>
      </c>
      <c r="E139">
        <v>613</v>
      </c>
      <c r="F139" t="s">
        <v>31</v>
      </c>
      <c r="G139" t="s">
        <v>20</v>
      </c>
      <c r="H139" s="6">
        <v>518651</v>
      </c>
      <c r="I139" s="6">
        <v>491522</v>
      </c>
      <c r="J139" t="s">
        <v>16</v>
      </c>
      <c r="K139" s="8">
        <v>1</v>
      </c>
    </row>
    <row r="140" spans="1:11" x14ac:dyDescent="0.25">
      <c r="A140" t="s">
        <v>167</v>
      </c>
      <c r="B140" s="1">
        <v>45711</v>
      </c>
      <c r="C140" t="s">
        <v>13</v>
      </c>
      <c r="D140" t="s">
        <v>22</v>
      </c>
      <c r="E140">
        <v>132</v>
      </c>
      <c r="F140" t="s">
        <v>31</v>
      </c>
      <c r="G140" t="s">
        <v>15</v>
      </c>
      <c r="H140" s="6">
        <v>191355</v>
      </c>
      <c r="I140" s="6">
        <v>176137</v>
      </c>
      <c r="J140" t="s">
        <v>16</v>
      </c>
      <c r="K140" s="8">
        <v>1</v>
      </c>
    </row>
    <row r="141" spans="1:11" x14ac:dyDescent="0.25">
      <c r="A141" t="s">
        <v>168</v>
      </c>
      <c r="B141" s="1">
        <v>45715</v>
      </c>
      <c r="C141" t="s">
        <v>12</v>
      </c>
      <c r="D141" t="s">
        <v>23</v>
      </c>
      <c r="E141">
        <v>1018</v>
      </c>
      <c r="F141" t="s">
        <v>43</v>
      </c>
      <c r="G141" t="s">
        <v>15</v>
      </c>
      <c r="H141" s="6">
        <v>507904</v>
      </c>
      <c r="I141" s="6">
        <v>505357</v>
      </c>
      <c r="J141" t="s">
        <v>16</v>
      </c>
      <c r="K141" s="8">
        <v>5</v>
      </c>
    </row>
    <row r="142" spans="1:11" x14ac:dyDescent="0.25">
      <c r="A142" t="s">
        <v>169</v>
      </c>
      <c r="B142" s="1">
        <v>45719</v>
      </c>
      <c r="C142" t="s">
        <v>22</v>
      </c>
      <c r="D142" t="s">
        <v>18</v>
      </c>
      <c r="E142">
        <v>1038</v>
      </c>
      <c r="F142" t="s">
        <v>43</v>
      </c>
      <c r="G142" t="s">
        <v>15</v>
      </c>
      <c r="H142" s="6">
        <v>437295</v>
      </c>
      <c r="I142" s="6">
        <v>513651</v>
      </c>
      <c r="J142" t="s">
        <v>16</v>
      </c>
      <c r="K142" s="8">
        <v>1</v>
      </c>
    </row>
    <row r="143" spans="1:11" x14ac:dyDescent="0.25">
      <c r="A143" t="s">
        <v>170</v>
      </c>
      <c r="B143" s="1">
        <v>45668</v>
      </c>
      <c r="C143" t="s">
        <v>23</v>
      </c>
      <c r="D143" t="s">
        <v>22</v>
      </c>
      <c r="E143">
        <v>1104</v>
      </c>
      <c r="F143" t="s">
        <v>14</v>
      </c>
      <c r="G143" t="s">
        <v>20</v>
      </c>
      <c r="H143" s="6">
        <v>473503</v>
      </c>
      <c r="I143" s="6">
        <v>542739</v>
      </c>
      <c r="J143" t="s">
        <v>16</v>
      </c>
      <c r="K143" s="8">
        <v>4</v>
      </c>
    </row>
    <row r="144" spans="1:11" x14ac:dyDescent="0.25">
      <c r="A144" t="s">
        <v>171</v>
      </c>
      <c r="B144" s="1">
        <v>45706</v>
      </c>
      <c r="C144" t="s">
        <v>18</v>
      </c>
      <c r="D144" t="s">
        <v>38</v>
      </c>
      <c r="E144">
        <v>358</v>
      </c>
      <c r="F144" t="s">
        <v>31</v>
      </c>
      <c r="G144" t="s">
        <v>20</v>
      </c>
      <c r="H144" s="6">
        <v>244187</v>
      </c>
      <c r="I144" s="6">
        <v>276017</v>
      </c>
      <c r="J144" t="s">
        <v>32</v>
      </c>
      <c r="K144" s="8">
        <v>6</v>
      </c>
    </row>
    <row r="145" spans="1:11" x14ac:dyDescent="0.25">
      <c r="A145" t="s">
        <v>172</v>
      </c>
      <c r="B145" s="1">
        <v>45713</v>
      </c>
      <c r="C145" t="s">
        <v>38</v>
      </c>
      <c r="D145" t="s">
        <v>22</v>
      </c>
      <c r="E145">
        <v>303</v>
      </c>
      <c r="F145" t="s">
        <v>46</v>
      </c>
      <c r="G145" t="s">
        <v>15</v>
      </c>
      <c r="H145" s="6">
        <v>515810</v>
      </c>
      <c r="I145" s="6">
        <v>557793</v>
      </c>
      <c r="J145" t="s">
        <v>16</v>
      </c>
      <c r="K145" s="8">
        <v>1</v>
      </c>
    </row>
    <row r="146" spans="1:11" x14ac:dyDescent="0.25">
      <c r="A146" t="s">
        <v>173</v>
      </c>
      <c r="B146" s="1">
        <v>45698</v>
      </c>
      <c r="C146" t="s">
        <v>30</v>
      </c>
      <c r="D146" t="s">
        <v>13</v>
      </c>
      <c r="E146">
        <v>1028</v>
      </c>
      <c r="F146" t="s">
        <v>19</v>
      </c>
      <c r="G146" t="s">
        <v>15</v>
      </c>
      <c r="H146" s="6">
        <v>309049</v>
      </c>
      <c r="I146" s="6">
        <v>313573</v>
      </c>
      <c r="J146" t="s">
        <v>16</v>
      </c>
      <c r="K146" s="8">
        <v>6</v>
      </c>
    </row>
    <row r="147" spans="1:11" x14ac:dyDescent="0.25">
      <c r="A147" t="s">
        <v>174</v>
      </c>
      <c r="B147" s="1">
        <v>45666</v>
      </c>
      <c r="C147" t="s">
        <v>23</v>
      </c>
      <c r="D147" t="s">
        <v>25</v>
      </c>
      <c r="E147">
        <v>866</v>
      </c>
      <c r="F147" t="s">
        <v>14</v>
      </c>
      <c r="G147" t="s">
        <v>15</v>
      </c>
      <c r="H147" s="6">
        <v>599957</v>
      </c>
      <c r="I147" s="6">
        <v>569963</v>
      </c>
      <c r="J147" t="s">
        <v>32</v>
      </c>
      <c r="K147" s="8">
        <v>6</v>
      </c>
    </row>
    <row r="148" spans="1:11" x14ac:dyDescent="0.25">
      <c r="A148" t="s">
        <v>175</v>
      </c>
      <c r="B148" s="1">
        <v>45674</v>
      </c>
      <c r="C148" t="s">
        <v>12</v>
      </c>
      <c r="D148" t="s">
        <v>30</v>
      </c>
      <c r="E148">
        <v>984</v>
      </c>
      <c r="F148" t="s">
        <v>43</v>
      </c>
      <c r="G148" t="s">
        <v>20</v>
      </c>
      <c r="H148" s="6">
        <v>150627</v>
      </c>
      <c r="I148" s="6">
        <v>198221</v>
      </c>
      <c r="J148" t="s">
        <v>32</v>
      </c>
      <c r="K148" s="8">
        <v>6</v>
      </c>
    </row>
    <row r="149" spans="1:11" x14ac:dyDescent="0.25">
      <c r="A149" t="s">
        <v>176</v>
      </c>
      <c r="B149" s="1">
        <v>45664</v>
      </c>
      <c r="C149" t="s">
        <v>13</v>
      </c>
      <c r="D149" t="s">
        <v>18</v>
      </c>
      <c r="E149">
        <v>350</v>
      </c>
      <c r="F149" t="s">
        <v>46</v>
      </c>
      <c r="G149" t="s">
        <v>15</v>
      </c>
      <c r="H149" s="6">
        <v>315382</v>
      </c>
      <c r="I149" s="6">
        <v>311728</v>
      </c>
      <c r="J149" t="s">
        <v>32</v>
      </c>
      <c r="K149" s="8">
        <v>7</v>
      </c>
    </row>
    <row r="150" spans="1:11" x14ac:dyDescent="0.25">
      <c r="A150" t="s">
        <v>177</v>
      </c>
      <c r="B150" s="1">
        <v>45742</v>
      </c>
      <c r="C150" t="s">
        <v>38</v>
      </c>
      <c r="D150" t="s">
        <v>18</v>
      </c>
      <c r="E150">
        <v>312</v>
      </c>
      <c r="F150" t="s">
        <v>26</v>
      </c>
      <c r="G150" t="s">
        <v>15</v>
      </c>
      <c r="H150" s="6">
        <v>402995</v>
      </c>
      <c r="I150" s="6">
        <v>419502</v>
      </c>
      <c r="J150" t="s">
        <v>16</v>
      </c>
      <c r="K150" s="8">
        <v>2</v>
      </c>
    </row>
    <row r="151" spans="1:11" x14ac:dyDescent="0.25">
      <c r="A151" t="s">
        <v>178</v>
      </c>
      <c r="B151" s="1">
        <v>45712</v>
      </c>
      <c r="C151" t="s">
        <v>30</v>
      </c>
      <c r="D151" t="s">
        <v>13</v>
      </c>
      <c r="E151">
        <v>852</v>
      </c>
      <c r="F151" t="s">
        <v>43</v>
      </c>
      <c r="G151" t="s">
        <v>15</v>
      </c>
      <c r="H151" s="6">
        <v>160232</v>
      </c>
      <c r="I151" s="6">
        <v>210188</v>
      </c>
      <c r="J151" t="s">
        <v>16</v>
      </c>
      <c r="K151" s="8">
        <v>3</v>
      </c>
    </row>
    <row r="152" spans="1:11" x14ac:dyDescent="0.25">
      <c r="A152" t="s">
        <v>179</v>
      </c>
      <c r="B152" s="1">
        <v>45701</v>
      </c>
      <c r="C152" t="s">
        <v>13</v>
      </c>
      <c r="D152" t="s">
        <v>18</v>
      </c>
      <c r="E152">
        <v>159</v>
      </c>
      <c r="F152" t="s">
        <v>14</v>
      </c>
      <c r="G152" t="s">
        <v>15</v>
      </c>
      <c r="H152" s="6">
        <v>194589</v>
      </c>
      <c r="I152" s="6">
        <v>180407</v>
      </c>
      <c r="J152" t="s">
        <v>32</v>
      </c>
      <c r="K152" s="8">
        <v>6</v>
      </c>
    </row>
    <row r="153" spans="1:11" x14ac:dyDescent="0.25">
      <c r="A153" t="s">
        <v>180</v>
      </c>
      <c r="B153" s="1">
        <v>45669</v>
      </c>
      <c r="C153" t="s">
        <v>18</v>
      </c>
      <c r="D153" t="s">
        <v>12</v>
      </c>
      <c r="E153">
        <v>920</v>
      </c>
      <c r="F153" t="s">
        <v>31</v>
      </c>
      <c r="G153" t="s">
        <v>20</v>
      </c>
      <c r="H153" s="6">
        <v>136482</v>
      </c>
      <c r="I153" s="6">
        <v>105077</v>
      </c>
      <c r="J153" t="s">
        <v>16</v>
      </c>
      <c r="K153" s="8">
        <v>6</v>
      </c>
    </row>
    <row r="154" spans="1:11" x14ac:dyDescent="0.25">
      <c r="A154" t="s">
        <v>181</v>
      </c>
      <c r="B154" s="1">
        <v>45730</v>
      </c>
      <c r="C154" t="s">
        <v>22</v>
      </c>
      <c r="D154" t="s">
        <v>38</v>
      </c>
      <c r="E154">
        <v>798</v>
      </c>
      <c r="F154" t="s">
        <v>19</v>
      </c>
      <c r="G154" t="s">
        <v>15</v>
      </c>
      <c r="H154" s="6">
        <v>182527</v>
      </c>
      <c r="I154" s="6">
        <v>181030</v>
      </c>
      <c r="J154" t="s">
        <v>32</v>
      </c>
      <c r="K154" s="8">
        <v>3</v>
      </c>
    </row>
    <row r="155" spans="1:11" x14ac:dyDescent="0.25">
      <c r="A155" t="s">
        <v>182</v>
      </c>
      <c r="B155" s="1">
        <v>45742</v>
      </c>
      <c r="C155" t="s">
        <v>12</v>
      </c>
      <c r="D155" t="s">
        <v>13</v>
      </c>
      <c r="E155">
        <v>201</v>
      </c>
      <c r="F155" t="s">
        <v>31</v>
      </c>
      <c r="G155" t="s">
        <v>20</v>
      </c>
      <c r="H155" s="6">
        <v>453353</v>
      </c>
      <c r="I155" s="6">
        <v>414046</v>
      </c>
      <c r="J155" t="s">
        <v>32</v>
      </c>
      <c r="K155" s="8">
        <v>3</v>
      </c>
    </row>
    <row r="156" spans="1:11" x14ac:dyDescent="0.25">
      <c r="A156" t="s">
        <v>183</v>
      </c>
      <c r="B156" s="1">
        <v>45702</v>
      </c>
      <c r="C156" t="s">
        <v>23</v>
      </c>
      <c r="D156" t="s">
        <v>22</v>
      </c>
      <c r="E156">
        <v>948</v>
      </c>
      <c r="F156" t="s">
        <v>46</v>
      </c>
      <c r="G156" t="s">
        <v>15</v>
      </c>
      <c r="H156" s="6">
        <v>243218</v>
      </c>
      <c r="I156" s="6">
        <v>221473</v>
      </c>
      <c r="J156" t="s">
        <v>16</v>
      </c>
      <c r="K156" s="8">
        <v>7</v>
      </c>
    </row>
    <row r="157" spans="1:11" x14ac:dyDescent="0.25">
      <c r="A157" t="s">
        <v>184</v>
      </c>
      <c r="B157" s="1">
        <v>45708</v>
      </c>
      <c r="C157" t="s">
        <v>23</v>
      </c>
      <c r="D157" t="s">
        <v>12</v>
      </c>
      <c r="E157">
        <v>1179</v>
      </c>
      <c r="F157" t="s">
        <v>26</v>
      </c>
      <c r="G157" t="s">
        <v>15</v>
      </c>
      <c r="H157" s="6">
        <v>449769</v>
      </c>
      <c r="I157" s="6">
        <v>440194</v>
      </c>
      <c r="J157" t="s">
        <v>16</v>
      </c>
      <c r="K157" s="8">
        <v>1</v>
      </c>
    </row>
    <row r="158" spans="1:11" x14ac:dyDescent="0.25">
      <c r="A158" t="s">
        <v>185</v>
      </c>
      <c r="B158" s="1">
        <v>45695</v>
      </c>
      <c r="C158" t="s">
        <v>13</v>
      </c>
      <c r="D158" t="s">
        <v>12</v>
      </c>
      <c r="E158">
        <v>532</v>
      </c>
      <c r="F158" t="s">
        <v>31</v>
      </c>
      <c r="G158" t="s">
        <v>15</v>
      </c>
      <c r="H158" s="6">
        <v>502312</v>
      </c>
      <c r="I158" s="6">
        <v>470299</v>
      </c>
      <c r="J158" t="s">
        <v>32</v>
      </c>
      <c r="K158" s="8">
        <v>7</v>
      </c>
    </row>
    <row r="159" spans="1:11" x14ac:dyDescent="0.25">
      <c r="A159" t="s">
        <v>186</v>
      </c>
      <c r="B159" s="1">
        <v>45722</v>
      </c>
      <c r="C159" t="s">
        <v>18</v>
      </c>
      <c r="D159" t="s">
        <v>12</v>
      </c>
      <c r="E159">
        <v>981</v>
      </c>
      <c r="F159" t="s">
        <v>43</v>
      </c>
      <c r="G159" t="s">
        <v>15</v>
      </c>
      <c r="H159" s="6">
        <v>192114</v>
      </c>
      <c r="I159" s="6">
        <v>159046</v>
      </c>
      <c r="J159" t="s">
        <v>16</v>
      </c>
      <c r="K159" s="8">
        <v>4</v>
      </c>
    </row>
    <row r="160" spans="1:11" x14ac:dyDescent="0.25">
      <c r="A160" t="s">
        <v>187</v>
      </c>
      <c r="B160" s="1">
        <v>45731</v>
      </c>
      <c r="C160" t="s">
        <v>18</v>
      </c>
      <c r="D160" t="s">
        <v>12</v>
      </c>
      <c r="E160">
        <v>993</v>
      </c>
      <c r="F160" t="s">
        <v>19</v>
      </c>
      <c r="G160" t="s">
        <v>20</v>
      </c>
      <c r="H160" s="6">
        <v>109825</v>
      </c>
      <c r="I160" s="6">
        <v>120085</v>
      </c>
      <c r="J160" t="s">
        <v>32</v>
      </c>
      <c r="K160" s="8">
        <v>1</v>
      </c>
    </row>
    <row r="161" spans="1:11" x14ac:dyDescent="0.25">
      <c r="A161" t="s">
        <v>188</v>
      </c>
      <c r="B161" s="1">
        <v>45679</v>
      </c>
      <c r="C161" t="s">
        <v>23</v>
      </c>
      <c r="D161" t="s">
        <v>38</v>
      </c>
      <c r="E161">
        <v>692</v>
      </c>
      <c r="F161" t="s">
        <v>19</v>
      </c>
      <c r="G161" t="s">
        <v>15</v>
      </c>
      <c r="H161" s="6">
        <v>160384</v>
      </c>
      <c r="I161" s="6">
        <v>163472</v>
      </c>
      <c r="J161" t="s">
        <v>32</v>
      </c>
      <c r="K161" s="8">
        <v>1</v>
      </c>
    </row>
    <row r="162" spans="1:11" x14ac:dyDescent="0.25">
      <c r="A162" t="s">
        <v>189</v>
      </c>
      <c r="B162" s="1">
        <v>45713</v>
      </c>
      <c r="C162" t="s">
        <v>30</v>
      </c>
      <c r="D162" t="s">
        <v>23</v>
      </c>
      <c r="E162">
        <v>280</v>
      </c>
      <c r="F162" t="s">
        <v>14</v>
      </c>
      <c r="G162" t="s">
        <v>15</v>
      </c>
      <c r="H162" s="6">
        <v>328962</v>
      </c>
      <c r="I162" s="6">
        <v>389650</v>
      </c>
      <c r="J162" t="s">
        <v>16</v>
      </c>
      <c r="K162" s="8">
        <v>1</v>
      </c>
    </row>
    <row r="163" spans="1:11" x14ac:dyDescent="0.25">
      <c r="A163" t="s">
        <v>190</v>
      </c>
      <c r="B163" s="1">
        <v>45679</v>
      </c>
      <c r="C163" t="s">
        <v>23</v>
      </c>
      <c r="D163" t="s">
        <v>38</v>
      </c>
      <c r="E163">
        <v>735</v>
      </c>
      <c r="F163" t="s">
        <v>43</v>
      </c>
      <c r="G163" t="s">
        <v>15</v>
      </c>
      <c r="H163" s="6">
        <v>491016</v>
      </c>
      <c r="I163" s="6">
        <v>485516</v>
      </c>
      <c r="J163" t="s">
        <v>32</v>
      </c>
      <c r="K163" s="8">
        <v>2</v>
      </c>
    </row>
    <row r="164" spans="1:11" x14ac:dyDescent="0.25">
      <c r="A164" t="s">
        <v>191</v>
      </c>
      <c r="B164" s="1">
        <v>45702</v>
      </c>
      <c r="C164" t="s">
        <v>12</v>
      </c>
      <c r="D164" t="s">
        <v>18</v>
      </c>
      <c r="E164">
        <v>1186</v>
      </c>
      <c r="F164" t="s">
        <v>14</v>
      </c>
      <c r="G164" t="s">
        <v>20</v>
      </c>
      <c r="H164" s="6">
        <v>367361</v>
      </c>
      <c r="I164" s="6">
        <v>342776</v>
      </c>
      <c r="J164" t="s">
        <v>32</v>
      </c>
      <c r="K164" s="8">
        <v>7</v>
      </c>
    </row>
    <row r="165" spans="1:11" x14ac:dyDescent="0.25">
      <c r="A165" t="s">
        <v>192</v>
      </c>
      <c r="B165" s="1">
        <v>45741</v>
      </c>
      <c r="C165" t="s">
        <v>25</v>
      </c>
      <c r="D165" t="s">
        <v>13</v>
      </c>
      <c r="E165">
        <v>624</v>
      </c>
      <c r="F165" t="s">
        <v>43</v>
      </c>
      <c r="G165" t="s">
        <v>20</v>
      </c>
      <c r="H165" s="6">
        <v>203427</v>
      </c>
      <c r="I165" s="6">
        <v>176167</v>
      </c>
      <c r="J165" t="s">
        <v>16</v>
      </c>
      <c r="K165" s="8">
        <v>5</v>
      </c>
    </row>
    <row r="166" spans="1:11" x14ac:dyDescent="0.25">
      <c r="A166" t="s">
        <v>193</v>
      </c>
      <c r="B166" s="1">
        <v>45745</v>
      </c>
      <c r="C166" t="s">
        <v>12</v>
      </c>
      <c r="D166" t="s">
        <v>25</v>
      </c>
      <c r="E166">
        <v>1050</v>
      </c>
      <c r="F166" t="s">
        <v>14</v>
      </c>
      <c r="G166" t="s">
        <v>15</v>
      </c>
      <c r="H166" s="6">
        <v>495546</v>
      </c>
      <c r="I166" s="6">
        <v>519435</v>
      </c>
      <c r="J166" t="s">
        <v>32</v>
      </c>
      <c r="K166" s="8">
        <v>7</v>
      </c>
    </row>
    <row r="167" spans="1:11" x14ac:dyDescent="0.25">
      <c r="A167" t="s">
        <v>194</v>
      </c>
      <c r="B167" s="1">
        <v>45738</v>
      </c>
      <c r="C167" t="s">
        <v>18</v>
      </c>
      <c r="D167" t="s">
        <v>30</v>
      </c>
      <c r="E167">
        <v>409</v>
      </c>
      <c r="F167" t="s">
        <v>14</v>
      </c>
      <c r="G167" t="s">
        <v>15</v>
      </c>
      <c r="H167" s="6">
        <v>330562</v>
      </c>
      <c r="I167" s="6">
        <v>289512</v>
      </c>
      <c r="J167" t="s">
        <v>32</v>
      </c>
      <c r="K167" s="8">
        <v>4</v>
      </c>
    </row>
    <row r="168" spans="1:11" x14ac:dyDescent="0.25">
      <c r="A168" t="s">
        <v>195</v>
      </c>
      <c r="B168" s="1">
        <v>45715</v>
      </c>
      <c r="C168" t="s">
        <v>38</v>
      </c>
      <c r="D168" t="s">
        <v>30</v>
      </c>
      <c r="E168">
        <v>820</v>
      </c>
      <c r="F168" t="s">
        <v>26</v>
      </c>
      <c r="G168" t="s">
        <v>20</v>
      </c>
      <c r="H168" s="6">
        <v>365990</v>
      </c>
      <c r="I168" s="6">
        <v>325714</v>
      </c>
      <c r="J168" t="s">
        <v>32</v>
      </c>
      <c r="K168" s="8">
        <v>3</v>
      </c>
    </row>
    <row r="169" spans="1:11" x14ac:dyDescent="0.25">
      <c r="A169" t="s">
        <v>196</v>
      </c>
      <c r="B169" s="1">
        <v>45736</v>
      </c>
      <c r="C169" t="s">
        <v>13</v>
      </c>
      <c r="D169" t="s">
        <v>12</v>
      </c>
      <c r="E169">
        <v>257</v>
      </c>
      <c r="F169" t="s">
        <v>26</v>
      </c>
      <c r="G169" t="s">
        <v>15</v>
      </c>
      <c r="H169" s="6">
        <v>437990</v>
      </c>
      <c r="I169" s="6">
        <v>501268</v>
      </c>
      <c r="J169" t="s">
        <v>16</v>
      </c>
      <c r="K169" s="8">
        <v>7</v>
      </c>
    </row>
    <row r="170" spans="1:11" x14ac:dyDescent="0.25">
      <c r="A170" t="s">
        <v>197</v>
      </c>
      <c r="B170" s="1">
        <v>45699</v>
      </c>
      <c r="C170" t="s">
        <v>23</v>
      </c>
      <c r="D170" t="s">
        <v>22</v>
      </c>
      <c r="E170">
        <v>1021</v>
      </c>
      <c r="F170" t="s">
        <v>46</v>
      </c>
      <c r="G170" t="s">
        <v>20</v>
      </c>
      <c r="H170" s="6">
        <v>576603</v>
      </c>
      <c r="I170" s="6">
        <v>632747</v>
      </c>
      <c r="J170" t="s">
        <v>16</v>
      </c>
      <c r="K170" s="8">
        <v>5</v>
      </c>
    </row>
    <row r="171" spans="1:11" x14ac:dyDescent="0.25">
      <c r="A171" t="s">
        <v>198</v>
      </c>
      <c r="B171" s="1">
        <v>45668</v>
      </c>
      <c r="C171" t="s">
        <v>30</v>
      </c>
      <c r="D171" t="s">
        <v>38</v>
      </c>
      <c r="E171">
        <v>1022</v>
      </c>
      <c r="F171" t="s">
        <v>31</v>
      </c>
      <c r="G171" t="s">
        <v>20</v>
      </c>
      <c r="H171" s="6">
        <v>154264</v>
      </c>
      <c r="I171" s="6">
        <v>210559</v>
      </c>
      <c r="J171" t="s">
        <v>32</v>
      </c>
      <c r="K171" s="8">
        <v>7</v>
      </c>
    </row>
    <row r="172" spans="1:11" x14ac:dyDescent="0.25">
      <c r="A172" t="s">
        <v>199</v>
      </c>
      <c r="B172" s="1">
        <v>45704</v>
      </c>
      <c r="C172" t="s">
        <v>25</v>
      </c>
      <c r="D172" t="s">
        <v>12</v>
      </c>
      <c r="E172">
        <v>999</v>
      </c>
      <c r="F172" t="s">
        <v>31</v>
      </c>
      <c r="G172" t="s">
        <v>15</v>
      </c>
      <c r="H172" s="6">
        <v>374762</v>
      </c>
      <c r="I172" s="6">
        <v>393279</v>
      </c>
      <c r="J172" t="s">
        <v>16</v>
      </c>
      <c r="K172" s="8">
        <v>5</v>
      </c>
    </row>
    <row r="173" spans="1:11" x14ac:dyDescent="0.25">
      <c r="A173" t="s">
        <v>200</v>
      </c>
      <c r="B173" s="1">
        <v>45666</v>
      </c>
      <c r="C173" t="s">
        <v>18</v>
      </c>
      <c r="D173" t="s">
        <v>25</v>
      </c>
      <c r="E173">
        <v>792</v>
      </c>
      <c r="F173" t="s">
        <v>19</v>
      </c>
      <c r="G173" t="s">
        <v>15</v>
      </c>
      <c r="H173" s="6">
        <v>455937</v>
      </c>
      <c r="I173" s="6">
        <v>484303</v>
      </c>
      <c r="J173" t="s">
        <v>32</v>
      </c>
      <c r="K173" s="8">
        <v>1</v>
      </c>
    </row>
    <row r="174" spans="1:11" x14ac:dyDescent="0.25">
      <c r="A174" t="s">
        <v>201</v>
      </c>
      <c r="B174" s="1">
        <v>45700</v>
      </c>
      <c r="C174" t="s">
        <v>18</v>
      </c>
      <c r="D174" t="s">
        <v>12</v>
      </c>
      <c r="E174">
        <v>681</v>
      </c>
      <c r="F174" t="s">
        <v>46</v>
      </c>
      <c r="G174" t="s">
        <v>15</v>
      </c>
      <c r="H174" s="6">
        <v>232118</v>
      </c>
      <c r="I174" s="6">
        <v>276979</v>
      </c>
      <c r="J174" t="s">
        <v>16</v>
      </c>
      <c r="K174" s="8">
        <v>7</v>
      </c>
    </row>
    <row r="175" spans="1:11" x14ac:dyDescent="0.25">
      <c r="A175" t="s">
        <v>202</v>
      </c>
      <c r="B175" s="1">
        <v>45674</v>
      </c>
      <c r="C175" t="s">
        <v>12</v>
      </c>
      <c r="D175" t="s">
        <v>18</v>
      </c>
      <c r="E175">
        <v>816</v>
      </c>
      <c r="F175" t="s">
        <v>14</v>
      </c>
      <c r="G175" t="s">
        <v>20</v>
      </c>
      <c r="H175" s="6">
        <v>262650</v>
      </c>
      <c r="I175" s="6">
        <v>339487</v>
      </c>
      <c r="J175" t="s">
        <v>32</v>
      </c>
      <c r="K175" s="8">
        <v>6</v>
      </c>
    </row>
    <row r="176" spans="1:11" x14ac:dyDescent="0.25">
      <c r="A176" t="s">
        <v>203</v>
      </c>
      <c r="B176" s="1">
        <v>45740</v>
      </c>
      <c r="C176" t="s">
        <v>12</v>
      </c>
      <c r="D176" t="s">
        <v>22</v>
      </c>
      <c r="E176">
        <v>772</v>
      </c>
      <c r="F176" t="s">
        <v>46</v>
      </c>
      <c r="G176" t="s">
        <v>15</v>
      </c>
      <c r="H176" s="6">
        <v>526343</v>
      </c>
      <c r="I176" s="6">
        <v>493093</v>
      </c>
      <c r="J176" t="s">
        <v>16</v>
      </c>
      <c r="K176" s="8">
        <v>6</v>
      </c>
    </row>
    <row r="177" spans="1:11" x14ac:dyDescent="0.25">
      <c r="A177" t="s">
        <v>204</v>
      </c>
      <c r="B177" s="1">
        <v>45720</v>
      </c>
      <c r="C177" t="s">
        <v>23</v>
      </c>
      <c r="D177" t="s">
        <v>38</v>
      </c>
      <c r="E177">
        <v>842</v>
      </c>
      <c r="F177" t="s">
        <v>26</v>
      </c>
      <c r="G177" t="s">
        <v>20</v>
      </c>
      <c r="H177" s="6">
        <v>261934</v>
      </c>
      <c r="I177" s="6">
        <v>235561</v>
      </c>
      <c r="J177" t="s">
        <v>32</v>
      </c>
      <c r="K177" s="8">
        <v>2</v>
      </c>
    </row>
    <row r="178" spans="1:11" x14ac:dyDescent="0.25">
      <c r="A178" t="s">
        <v>205</v>
      </c>
      <c r="B178" s="1">
        <v>45722</v>
      </c>
      <c r="C178" t="s">
        <v>22</v>
      </c>
      <c r="D178" t="s">
        <v>13</v>
      </c>
      <c r="E178">
        <v>258</v>
      </c>
      <c r="F178" t="s">
        <v>31</v>
      </c>
      <c r="G178" t="s">
        <v>20</v>
      </c>
      <c r="H178" s="6">
        <v>255080</v>
      </c>
      <c r="I178" s="6">
        <v>315760</v>
      </c>
      <c r="J178" t="s">
        <v>16</v>
      </c>
      <c r="K178" s="8">
        <v>7</v>
      </c>
    </row>
    <row r="179" spans="1:11" x14ac:dyDescent="0.25">
      <c r="A179" t="s">
        <v>206</v>
      </c>
      <c r="B179" s="1">
        <v>45714</v>
      </c>
      <c r="C179" t="s">
        <v>13</v>
      </c>
      <c r="D179" t="s">
        <v>23</v>
      </c>
      <c r="E179">
        <v>871</v>
      </c>
      <c r="F179" t="s">
        <v>26</v>
      </c>
      <c r="G179" t="s">
        <v>20</v>
      </c>
      <c r="H179" s="6">
        <v>180872</v>
      </c>
      <c r="I179" s="6">
        <v>152138</v>
      </c>
      <c r="J179" t="s">
        <v>16</v>
      </c>
      <c r="K179" s="8">
        <v>2</v>
      </c>
    </row>
    <row r="180" spans="1:11" x14ac:dyDescent="0.25">
      <c r="A180" t="s">
        <v>207</v>
      </c>
      <c r="B180" s="1">
        <v>45687</v>
      </c>
      <c r="C180" t="s">
        <v>13</v>
      </c>
      <c r="D180" t="s">
        <v>38</v>
      </c>
      <c r="E180">
        <v>1009</v>
      </c>
      <c r="F180" t="s">
        <v>26</v>
      </c>
      <c r="G180" t="s">
        <v>20</v>
      </c>
      <c r="H180" s="6">
        <v>420127</v>
      </c>
      <c r="I180" s="6">
        <v>407473</v>
      </c>
      <c r="J180" t="s">
        <v>32</v>
      </c>
      <c r="K180" s="8">
        <v>7</v>
      </c>
    </row>
    <row r="181" spans="1:11" x14ac:dyDescent="0.25">
      <c r="A181" t="s">
        <v>208</v>
      </c>
      <c r="B181" s="1">
        <v>45717</v>
      </c>
      <c r="C181" t="s">
        <v>22</v>
      </c>
      <c r="D181" t="s">
        <v>25</v>
      </c>
      <c r="E181">
        <v>853</v>
      </c>
      <c r="F181" t="s">
        <v>19</v>
      </c>
      <c r="G181" t="s">
        <v>20</v>
      </c>
      <c r="H181" s="6">
        <v>455628</v>
      </c>
      <c r="I181" s="6">
        <v>529770</v>
      </c>
      <c r="J181" t="s">
        <v>32</v>
      </c>
      <c r="K181" s="8">
        <v>5</v>
      </c>
    </row>
    <row r="182" spans="1:11" x14ac:dyDescent="0.25">
      <c r="A182" t="s">
        <v>209</v>
      </c>
      <c r="B182" s="1">
        <v>45690</v>
      </c>
      <c r="C182" t="s">
        <v>38</v>
      </c>
      <c r="D182" t="s">
        <v>30</v>
      </c>
      <c r="E182">
        <v>431</v>
      </c>
      <c r="F182" t="s">
        <v>19</v>
      </c>
      <c r="G182" t="s">
        <v>15</v>
      </c>
      <c r="H182" s="6">
        <v>528286</v>
      </c>
      <c r="I182" s="6">
        <v>504460</v>
      </c>
      <c r="J182" t="s">
        <v>16</v>
      </c>
      <c r="K182" s="8">
        <v>7</v>
      </c>
    </row>
    <row r="183" spans="1:11" x14ac:dyDescent="0.25">
      <c r="A183" t="s">
        <v>210</v>
      </c>
      <c r="B183" s="1">
        <v>45694</v>
      </c>
      <c r="C183" t="s">
        <v>13</v>
      </c>
      <c r="D183" t="s">
        <v>23</v>
      </c>
      <c r="E183">
        <v>310</v>
      </c>
      <c r="F183" t="s">
        <v>19</v>
      </c>
      <c r="G183" t="s">
        <v>15</v>
      </c>
      <c r="H183" s="6">
        <v>472978</v>
      </c>
      <c r="I183" s="6">
        <v>533850</v>
      </c>
      <c r="J183" t="s">
        <v>16</v>
      </c>
      <c r="K183" s="8">
        <v>5</v>
      </c>
    </row>
    <row r="184" spans="1:11" x14ac:dyDescent="0.25">
      <c r="A184" t="s">
        <v>211</v>
      </c>
      <c r="B184" s="1">
        <v>45669</v>
      </c>
      <c r="C184" t="s">
        <v>12</v>
      </c>
      <c r="D184" t="s">
        <v>30</v>
      </c>
      <c r="E184">
        <v>1020</v>
      </c>
      <c r="F184" t="s">
        <v>31</v>
      </c>
      <c r="G184" t="s">
        <v>15</v>
      </c>
      <c r="H184" s="6">
        <v>574641</v>
      </c>
      <c r="I184" s="6">
        <v>591927</v>
      </c>
      <c r="J184" t="s">
        <v>32</v>
      </c>
      <c r="K184" s="8">
        <v>2</v>
      </c>
    </row>
    <row r="185" spans="1:11" x14ac:dyDescent="0.25">
      <c r="A185" t="s">
        <v>212</v>
      </c>
      <c r="B185" s="1">
        <v>45688</v>
      </c>
      <c r="C185" t="s">
        <v>22</v>
      </c>
      <c r="D185" t="s">
        <v>30</v>
      </c>
      <c r="E185">
        <v>154</v>
      </c>
      <c r="F185" t="s">
        <v>19</v>
      </c>
      <c r="G185" t="s">
        <v>15</v>
      </c>
      <c r="H185" s="6">
        <v>317525</v>
      </c>
      <c r="I185" s="6">
        <v>274505</v>
      </c>
      <c r="J185" t="s">
        <v>32</v>
      </c>
      <c r="K185" s="8">
        <v>4</v>
      </c>
    </row>
    <row r="186" spans="1:11" x14ac:dyDescent="0.25">
      <c r="A186" t="s">
        <v>213</v>
      </c>
      <c r="B186" s="1">
        <v>45676</v>
      </c>
      <c r="C186" t="s">
        <v>23</v>
      </c>
      <c r="D186" t="s">
        <v>12</v>
      </c>
      <c r="E186">
        <v>157</v>
      </c>
      <c r="F186" t="s">
        <v>26</v>
      </c>
      <c r="G186" t="s">
        <v>20</v>
      </c>
      <c r="H186" s="6">
        <v>267082</v>
      </c>
      <c r="I186" s="6">
        <v>339087</v>
      </c>
      <c r="J186" t="s">
        <v>32</v>
      </c>
      <c r="K186" s="8">
        <v>1</v>
      </c>
    </row>
    <row r="187" spans="1:11" x14ac:dyDescent="0.25">
      <c r="A187" t="s">
        <v>214</v>
      </c>
      <c r="B187" s="1">
        <v>45736</v>
      </c>
      <c r="C187" t="s">
        <v>25</v>
      </c>
      <c r="D187" t="s">
        <v>12</v>
      </c>
      <c r="E187">
        <v>384</v>
      </c>
      <c r="F187" t="s">
        <v>26</v>
      </c>
      <c r="G187" t="s">
        <v>15</v>
      </c>
      <c r="H187" s="6">
        <v>497851</v>
      </c>
      <c r="I187" s="6">
        <v>540327</v>
      </c>
      <c r="J187" t="s">
        <v>32</v>
      </c>
      <c r="K187" s="8">
        <v>4</v>
      </c>
    </row>
    <row r="188" spans="1:11" x14ac:dyDescent="0.25">
      <c r="A188" t="s">
        <v>215</v>
      </c>
      <c r="B188" s="1">
        <v>45672</v>
      </c>
      <c r="C188" t="s">
        <v>13</v>
      </c>
      <c r="D188" t="s">
        <v>12</v>
      </c>
      <c r="E188">
        <v>541</v>
      </c>
      <c r="F188" t="s">
        <v>43</v>
      </c>
      <c r="G188" t="s">
        <v>15</v>
      </c>
      <c r="H188" s="6">
        <v>537761</v>
      </c>
      <c r="I188" s="6">
        <v>507358</v>
      </c>
      <c r="J188" t="s">
        <v>32</v>
      </c>
      <c r="K188" s="8">
        <v>5</v>
      </c>
    </row>
    <row r="189" spans="1:11" x14ac:dyDescent="0.25">
      <c r="A189" t="s">
        <v>216</v>
      </c>
      <c r="B189" s="1">
        <v>45666</v>
      </c>
      <c r="C189" t="s">
        <v>38</v>
      </c>
      <c r="D189" t="s">
        <v>13</v>
      </c>
      <c r="E189">
        <v>197</v>
      </c>
      <c r="F189" t="s">
        <v>26</v>
      </c>
      <c r="G189" t="s">
        <v>20</v>
      </c>
      <c r="H189" s="6">
        <v>225010</v>
      </c>
      <c r="I189" s="6">
        <v>230037</v>
      </c>
      <c r="J189" t="s">
        <v>32</v>
      </c>
      <c r="K189" s="8">
        <v>6</v>
      </c>
    </row>
    <row r="190" spans="1:11" x14ac:dyDescent="0.25">
      <c r="A190" t="s">
        <v>217</v>
      </c>
      <c r="B190" s="1">
        <v>45695</v>
      </c>
      <c r="C190" t="s">
        <v>12</v>
      </c>
      <c r="D190" t="s">
        <v>30</v>
      </c>
      <c r="E190">
        <v>1155</v>
      </c>
      <c r="F190" t="s">
        <v>19</v>
      </c>
      <c r="G190" t="s">
        <v>20</v>
      </c>
      <c r="H190" s="6">
        <v>401490</v>
      </c>
      <c r="I190" s="6">
        <v>383201</v>
      </c>
      <c r="J190" t="s">
        <v>16</v>
      </c>
      <c r="K190" s="8">
        <v>6</v>
      </c>
    </row>
    <row r="191" spans="1:11" x14ac:dyDescent="0.25">
      <c r="A191" t="s">
        <v>218</v>
      </c>
      <c r="B191" s="1">
        <v>45725</v>
      </c>
      <c r="C191" t="s">
        <v>23</v>
      </c>
      <c r="D191" t="s">
        <v>12</v>
      </c>
      <c r="E191">
        <v>592</v>
      </c>
      <c r="F191" t="s">
        <v>46</v>
      </c>
      <c r="G191" t="s">
        <v>15</v>
      </c>
      <c r="H191" s="6">
        <v>399192</v>
      </c>
      <c r="I191" s="6">
        <v>403792</v>
      </c>
      <c r="J191" t="s">
        <v>16</v>
      </c>
      <c r="K191" s="8">
        <v>2</v>
      </c>
    </row>
    <row r="192" spans="1:11" x14ac:dyDescent="0.25">
      <c r="A192" t="s">
        <v>219</v>
      </c>
      <c r="B192" s="1">
        <v>45705</v>
      </c>
      <c r="C192" t="s">
        <v>18</v>
      </c>
      <c r="D192" t="s">
        <v>12</v>
      </c>
      <c r="E192">
        <v>899</v>
      </c>
      <c r="F192" t="s">
        <v>46</v>
      </c>
      <c r="G192" t="s">
        <v>20</v>
      </c>
      <c r="H192" s="6">
        <v>557877</v>
      </c>
      <c r="I192" s="6">
        <v>569498</v>
      </c>
      <c r="J192" t="s">
        <v>32</v>
      </c>
      <c r="K192" s="8">
        <v>1</v>
      </c>
    </row>
    <row r="193" spans="1:11" x14ac:dyDescent="0.25">
      <c r="A193" t="s">
        <v>220</v>
      </c>
      <c r="B193" s="1">
        <v>45732</v>
      </c>
      <c r="C193" t="s">
        <v>38</v>
      </c>
      <c r="D193" t="s">
        <v>23</v>
      </c>
      <c r="E193">
        <v>238</v>
      </c>
      <c r="F193" t="s">
        <v>43</v>
      </c>
      <c r="G193" t="s">
        <v>15</v>
      </c>
      <c r="H193" s="6">
        <v>280775</v>
      </c>
      <c r="I193" s="6">
        <v>262379</v>
      </c>
      <c r="J193" t="s">
        <v>16</v>
      </c>
      <c r="K193" s="8">
        <v>6</v>
      </c>
    </row>
    <row r="194" spans="1:11" x14ac:dyDescent="0.25">
      <c r="A194" t="s">
        <v>221</v>
      </c>
      <c r="B194" s="1">
        <v>45747</v>
      </c>
      <c r="C194" t="s">
        <v>18</v>
      </c>
      <c r="D194" t="s">
        <v>13</v>
      </c>
      <c r="E194">
        <v>793</v>
      </c>
      <c r="F194" t="s">
        <v>43</v>
      </c>
      <c r="G194" t="s">
        <v>15</v>
      </c>
      <c r="H194" s="6">
        <v>526512</v>
      </c>
      <c r="I194" s="6">
        <v>560764</v>
      </c>
      <c r="J194" t="s">
        <v>32</v>
      </c>
      <c r="K194" s="8">
        <v>2</v>
      </c>
    </row>
    <row r="195" spans="1:11" x14ac:dyDescent="0.25">
      <c r="A195" t="s">
        <v>222</v>
      </c>
      <c r="B195" s="1">
        <v>45695</v>
      </c>
      <c r="C195" t="s">
        <v>30</v>
      </c>
      <c r="D195" t="s">
        <v>18</v>
      </c>
      <c r="E195">
        <v>229</v>
      </c>
      <c r="F195" t="s">
        <v>31</v>
      </c>
      <c r="G195" t="s">
        <v>20</v>
      </c>
      <c r="H195" s="6">
        <v>475413</v>
      </c>
      <c r="I195" s="6">
        <v>527149</v>
      </c>
      <c r="J195" t="s">
        <v>16</v>
      </c>
      <c r="K195" s="8">
        <v>4</v>
      </c>
    </row>
    <row r="196" spans="1:11" x14ac:dyDescent="0.25">
      <c r="A196" t="s">
        <v>223</v>
      </c>
      <c r="B196" s="1">
        <v>45727</v>
      </c>
      <c r="C196" t="s">
        <v>22</v>
      </c>
      <c r="D196" t="s">
        <v>12</v>
      </c>
      <c r="E196">
        <v>746</v>
      </c>
      <c r="F196" t="s">
        <v>31</v>
      </c>
      <c r="G196" t="s">
        <v>20</v>
      </c>
      <c r="H196" s="6">
        <v>589355</v>
      </c>
      <c r="I196" s="6">
        <v>579997</v>
      </c>
      <c r="J196" t="s">
        <v>32</v>
      </c>
      <c r="K196" s="8">
        <v>5</v>
      </c>
    </row>
    <row r="197" spans="1:11" x14ac:dyDescent="0.25">
      <c r="A197" t="s">
        <v>224</v>
      </c>
      <c r="B197" s="1">
        <v>45741</v>
      </c>
      <c r="C197" t="s">
        <v>30</v>
      </c>
      <c r="D197" t="s">
        <v>25</v>
      </c>
      <c r="E197">
        <v>685</v>
      </c>
      <c r="F197" t="s">
        <v>43</v>
      </c>
      <c r="G197" t="s">
        <v>20</v>
      </c>
      <c r="H197" s="6">
        <v>287157</v>
      </c>
      <c r="I197" s="6">
        <v>350159</v>
      </c>
      <c r="J197" t="s">
        <v>16</v>
      </c>
      <c r="K197" s="8">
        <v>7</v>
      </c>
    </row>
    <row r="198" spans="1:11" x14ac:dyDescent="0.25">
      <c r="A198" t="s">
        <v>225</v>
      </c>
      <c r="B198" s="1">
        <v>45707</v>
      </c>
      <c r="C198" t="s">
        <v>18</v>
      </c>
      <c r="D198" t="s">
        <v>25</v>
      </c>
      <c r="E198">
        <v>994</v>
      </c>
      <c r="F198" t="s">
        <v>43</v>
      </c>
      <c r="G198" t="s">
        <v>15</v>
      </c>
      <c r="H198" s="6">
        <v>566347</v>
      </c>
      <c r="I198" s="6">
        <v>568778</v>
      </c>
      <c r="J198" t="s">
        <v>32</v>
      </c>
      <c r="K198" s="8">
        <v>6</v>
      </c>
    </row>
    <row r="199" spans="1:11" x14ac:dyDescent="0.25">
      <c r="A199" t="s">
        <v>226</v>
      </c>
      <c r="B199" s="1">
        <v>45668</v>
      </c>
      <c r="C199" t="s">
        <v>18</v>
      </c>
      <c r="D199" t="s">
        <v>13</v>
      </c>
      <c r="E199">
        <v>852</v>
      </c>
      <c r="F199" t="s">
        <v>19</v>
      </c>
      <c r="G199" t="s">
        <v>15</v>
      </c>
      <c r="H199" s="6">
        <v>584604</v>
      </c>
      <c r="I199" s="6">
        <v>639106</v>
      </c>
      <c r="J199" t="s">
        <v>32</v>
      </c>
      <c r="K199" s="8">
        <v>5</v>
      </c>
    </row>
    <row r="200" spans="1:11" x14ac:dyDescent="0.25">
      <c r="A200" t="s">
        <v>227</v>
      </c>
      <c r="B200" s="1">
        <v>45742</v>
      </c>
      <c r="C200" t="s">
        <v>23</v>
      </c>
      <c r="D200" t="s">
        <v>12</v>
      </c>
      <c r="E200">
        <v>701</v>
      </c>
      <c r="F200" t="s">
        <v>19</v>
      </c>
      <c r="G200" t="s">
        <v>20</v>
      </c>
      <c r="H200" s="6">
        <v>268407</v>
      </c>
      <c r="I200" s="6">
        <v>231854</v>
      </c>
      <c r="J200" t="s">
        <v>32</v>
      </c>
      <c r="K200" s="8">
        <v>1</v>
      </c>
    </row>
    <row r="201" spans="1:11" x14ac:dyDescent="0.25">
      <c r="A201" t="s">
        <v>228</v>
      </c>
      <c r="B201" s="1">
        <v>45663</v>
      </c>
      <c r="C201" t="s">
        <v>38</v>
      </c>
      <c r="D201" t="s">
        <v>25</v>
      </c>
      <c r="E201">
        <v>441</v>
      </c>
      <c r="F201" t="s">
        <v>19</v>
      </c>
      <c r="G201" t="s">
        <v>15</v>
      </c>
      <c r="H201" s="6">
        <v>461635</v>
      </c>
      <c r="I201" s="6">
        <v>469818</v>
      </c>
      <c r="J201" t="s">
        <v>32</v>
      </c>
      <c r="K201" s="8">
        <v>3</v>
      </c>
    </row>
    <row r="202" spans="1:11" x14ac:dyDescent="0.25">
      <c r="A202" t="s">
        <v>229</v>
      </c>
      <c r="B202" s="1">
        <v>45704</v>
      </c>
      <c r="C202" t="s">
        <v>18</v>
      </c>
      <c r="D202" t="s">
        <v>38</v>
      </c>
      <c r="E202">
        <v>217</v>
      </c>
      <c r="F202" t="s">
        <v>19</v>
      </c>
      <c r="G202" t="s">
        <v>15</v>
      </c>
      <c r="H202" s="6">
        <v>139343</v>
      </c>
      <c r="I202" s="6">
        <v>177316</v>
      </c>
      <c r="J202" t="s">
        <v>32</v>
      </c>
      <c r="K202" s="8">
        <v>6</v>
      </c>
    </row>
    <row r="203" spans="1:11" x14ac:dyDescent="0.25">
      <c r="A203" t="s">
        <v>230</v>
      </c>
      <c r="B203" s="1">
        <v>45704</v>
      </c>
      <c r="C203" t="s">
        <v>25</v>
      </c>
      <c r="D203" t="s">
        <v>12</v>
      </c>
      <c r="E203">
        <v>171</v>
      </c>
      <c r="F203" t="s">
        <v>31</v>
      </c>
      <c r="G203" t="s">
        <v>15</v>
      </c>
      <c r="H203" s="6">
        <v>166180</v>
      </c>
      <c r="I203" s="6">
        <v>124992</v>
      </c>
      <c r="J203" t="s">
        <v>32</v>
      </c>
      <c r="K203" s="8">
        <v>2</v>
      </c>
    </row>
    <row r="204" spans="1:11" x14ac:dyDescent="0.25">
      <c r="A204" t="s">
        <v>231</v>
      </c>
      <c r="B204" s="1">
        <v>45667</v>
      </c>
      <c r="C204" t="s">
        <v>23</v>
      </c>
      <c r="D204" t="s">
        <v>38</v>
      </c>
      <c r="E204">
        <v>1021</v>
      </c>
      <c r="F204" t="s">
        <v>43</v>
      </c>
      <c r="G204" t="s">
        <v>20</v>
      </c>
      <c r="H204" s="6">
        <v>597456</v>
      </c>
      <c r="I204" s="6">
        <v>596079</v>
      </c>
      <c r="J204" t="s">
        <v>32</v>
      </c>
      <c r="K204" s="8">
        <v>3</v>
      </c>
    </row>
    <row r="205" spans="1:11" x14ac:dyDescent="0.25">
      <c r="A205" t="s">
        <v>232</v>
      </c>
      <c r="B205" s="1">
        <v>45661</v>
      </c>
      <c r="C205" t="s">
        <v>25</v>
      </c>
      <c r="D205" t="s">
        <v>18</v>
      </c>
      <c r="E205">
        <v>743</v>
      </c>
      <c r="F205" t="s">
        <v>26</v>
      </c>
      <c r="G205" t="s">
        <v>15</v>
      </c>
      <c r="H205" s="6">
        <v>440556</v>
      </c>
      <c r="I205" s="6">
        <v>427084</v>
      </c>
      <c r="J205" t="s">
        <v>16</v>
      </c>
      <c r="K205" s="8">
        <v>2</v>
      </c>
    </row>
    <row r="206" spans="1:11" x14ac:dyDescent="0.25">
      <c r="A206" t="s">
        <v>233</v>
      </c>
      <c r="B206" s="1">
        <v>45685</v>
      </c>
      <c r="C206" t="s">
        <v>25</v>
      </c>
      <c r="D206" t="s">
        <v>38</v>
      </c>
      <c r="E206">
        <v>341</v>
      </c>
      <c r="F206" t="s">
        <v>46</v>
      </c>
      <c r="G206" t="s">
        <v>15</v>
      </c>
      <c r="H206" s="6">
        <v>237246</v>
      </c>
      <c r="I206" s="6">
        <v>288822</v>
      </c>
      <c r="J206" t="s">
        <v>32</v>
      </c>
      <c r="K206" s="8">
        <v>3</v>
      </c>
    </row>
    <row r="207" spans="1:11" x14ac:dyDescent="0.25">
      <c r="A207" t="s">
        <v>234</v>
      </c>
      <c r="B207" s="1">
        <v>45680</v>
      </c>
      <c r="C207" t="s">
        <v>38</v>
      </c>
      <c r="D207" t="s">
        <v>23</v>
      </c>
      <c r="E207">
        <v>351</v>
      </c>
      <c r="F207" t="s">
        <v>19</v>
      </c>
      <c r="G207" t="s">
        <v>20</v>
      </c>
      <c r="H207" s="6">
        <v>171160</v>
      </c>
      <c r="I207" s="6">
        <v>232941</v>
      </c>
      <c r="J207" t="s">
        <v>32</v>
      </c>
      <c r="K207" s="8">
        <v>1</v>
      </c>
    </row>
    <row r="208" spans="1:11" x14ac:dyDescent="0.25">
      <c r="A208" t="s">
        <v>235</v>
      </c>
      <c r="B208" s="1">
        <v>45696</v>
      </c>
      <c r="C208" t="s">
        <v>30</v>
      </c>
      <c r="D208" t="s">
        <v>12</v>
      </c>
      <c r="E208">
        <v>811</v>
      </c>
      <c r="F208" t="s">
        <v>14</v>
      </c>
      <c r="G208" t="s">
        <v>15</v>
      </c>
      <c r="H208" s="6">
        <v>472003</v>
      </c>
      <c r="I208" s="6">
        <v>430514</v>
      </c>
      <c r="J208" t="s">
        <v>32</v>
      </c>
      <c r="K208" s="8">
        <v>5</v>
      </c>
    </row>
    <row r="209" spans="1:11" x14ac:dyDescent="0.25">
      <c r="A209" t="s">
        <v>236</v>
      </c>
      <c r="B209" s="1">
        <v>45675</v>
      </c>
      <c r="C209" t="s">
        <v>25</v>
      </c>
      <c r="D209" t="s">
        <v>23</v>
      </c>
      <c r="E209">
        <v>840</v>
      </c>
      <c r="F209" t="s">
        <v>14</v>
      </c>
      <c r="G209" t="s">
        <v>20</v>
      </c>
      <c r="H209" s="6">
        <v>366734</v>
      </c>
      <c r="I209" s="6">
        <v>346125</v>
      </c>
      <c r="J209" t="s">
        <v>16</v>
      </c>
      <c r="K209" s="8">
        <v>1</v>
      </c>
    </row>
    <row r="210" spans="1:11" x14ac:dyDescent="0.25">
      <c r="A210" t="s">
        <v>237</v>
      </c>
      <c r="B210" s="1">
        <v>45728</v>
      </c>
      <c r="C210" t="s">
        <v>22</v>
      </c>
      <c r="D210" t="s">
        <v>30</v>
      </c>
      <c r="E210">
        <v>839</v>
      </c>
      <c r="F210" t="s">
        <v>19</v>
      </c>
      <c r="G210" t="s">
        <v>20</v>
      </c>
      <c r="H210" s="6">
        <v>390466</v>
      </c>
      <c r="I210" s="6">
        <v>415475</v>
      </c>
      <c r="J210" t="s">
        <v>32</v>
      </c>
      <c r="K210" s="8">
        <v>3</v>
      </c>
    </row>
    <row r="211" spans="1:11" x14ac:dyDescent="0.25">
      <c r="A211" t="s">
        <v>238</v>
      </c>
      <c r="B211" s="1">
        <v>45725</v>
      </c>
      <c r="C211" t="s">
        <v>25</v>
      </c>
      <c r="D211" t="s">
        <v>18</v>
      </c>
      <c r="E211">
        <v>733</v>
      </c>
      <c r="F211" t="s">
        <v>43</v>
      </c>
      <c r="G211" t="s">
        <v>20</v>
      </c>
      <c r="H211" s="6">
        <v>308750</v>
      </c>
      <c r="I211" s="6">
        <v>352719</v>
      </c>
      <c r="J211" t="s">
        <v>32</v>
      </c>
      <c r="K211" s="8">
        <v>6</v>
      </c>
    </row>
    <row r="212" spans="1:11" x14ac:dyDescent="0.25">
      <c r="A212" t="s">
        <v>239</v>
      </c>
      <c r="B212" s="1">
        <v>45717</v>
      </c>
      <c r="C212" t="s">
        <v>23</v>
      </c>
      <c r="D212" t="s">
        <v>30</v>
      </c>
      <c r="E212">
        <v>356</v>
      </c>
      <c r="F212" t="s">
        <v>19</v>
      </c>
      <c r="G212" t="s">
        <v>20</v>
      </c>
      <c r="H212" s="6">
        <v>266213</v>
      </c>
      <c r="I212" s="6">
        <v>300405</v>
      </c>
      <c r="J212" t="s">
        <v>32</v>
      </c>
      <c r="K212" s="8">
        <v>1</v>
      </c>
    </row>
    <row r="213" spans="1:11" x14ac:dyDescent="0.25">
      <c r="A213" t="s">
        <v>240</v>
      </c>
      <c r="B213" s="1">
        <v>45673</v>
      </c>
      <c r="C213" t="s">
        <v>18</v>
      </c>
      <c r="D213" t="s">
        <v>13</v>
      </c>
      <c r="E213">
        <v>364</v>
      </c>
      <c r="F213" t="s">
        <v>46</v>
      </c>
      <c r="G213" t="s">
        <v>20</v>
      </c>
      <c r="H213" s="6">
        <v>326816</v>
      </c>
      <c r="I213" s="6">
        <v>342727</v>
      </c>
      <c r="J213" t="s">
        <v>16</v>
      </c>
      <c r="K213" s="8">
        <v>7</v>
      </c>
    </row>
    <row r="214" spans="1:11" x14ac:dyDescent="0.25">
      <c r="A214" t="s">
        <v>241</v>
      </c>
      <c r="B214" s="1">
        <v>45724</v>
      </c>
      <c r="C214" t="s">
        <v>25</v>
      </c>
      <c r="D214" t="s">
        <v>22</v>
      </c>
      <c r="E214">
        <v>760</v>
      </c>
      <c r="F214" t="s">
        <v>31</v>
      </c>
      <c r="G214" t="s">
        <v>20</v>
      </c>
      <c r="H214" s="6">
        <v>590071</v>
      </c>
      <c r="I214" s="6">
        <v>633044</v>
      </c>
      <c r="J214" t="s">
        <v>32</v>
      </c>
      <c r="K214" s="8">
        <v>2</v>
      </c>
    </row>
    <row r="215" spans="1:11" x14ac:dyDescent="0.25">
      <c r="A215" t="s">
        <v>242</v>
      </c>
      <c r="B215" s="1">
        <v>45674</v>
      </c>
      <c r="C215" t="s">
        <v>38</v>
      </c>
      <c r="D215" t="s">
        <v>30</v>
      </c>
      <c r="E215">
        <v>502</v>
      </c>
      <c r="F215" t="s">
        <v>43</v>
      </c>
      <c r="G215" t="s">
        <v>15</v>
      </c>
      <c r="H215" s="6">
        <v>432952</v>
      </c>
      <c r="I215" s="6">
        <v>508302</v>
      </c>
      <c r="J215" t="s">
        <v>32</v>
      </c>
      <c r="K215" s="8">
        <v>5</v>
      </c>
    </row>
    <row r="216" spans="1:11" x14ac:dyDescent="0.25">
      <c r="A216" t="s">
        <v>243</v>
      </c>
      <c r="B216" s="1">
        <v>45679</v>
      </c>
      <c r="C216" t="s">
        <v>38</v>
      </c>
      <c r="D216" t="s">
        <v>18</v>
      </c>
      <c r="E216">
        <v>1129</v>
      </c>
      <c r="F216" t="s">
        <v>46</v>
      </c>
      <c r="G216" t="s">
        <v>20</v>
      </c>
      <c r="H216" s="6">
        <v>436062</v>
      </c>
      <c r="I216" s="6">
        <v>408165</v>
      </c>
      <c r="J216" t="s">
        <v>16</v>
      </c>
      <c r="K216" s="8">
        <v>5</v>
      </c>
    </row>
    <row r="217" spans="1:11" x14ac:dyDescent="0.25">
      <c r="A217" t="s">
        <v>244</v>
      </c>
      <c r="B217" s="1">
        <v>45741</v>
      </c>
      <c r="C217" t="s">
        <v>18</v>
      </c>
      <c r="D217" t="s">
        <v>30</v>
      </c>
      <c r="E217">
        <v>158</v>
      </c>
      <c r="F217" t="s">
        <v>46</v>
      </c>
      <c r="G217" t="s">
        <v>20</v>
      </c>
      <c r="H217" s="6">
        <v>142584</v>
      </c>
      <c r="I217" s="6">
        <v>98542</v>
      </c>
      <c r="J217" t="s">
        <v>32</v>
      </c>
      <c r="K217" s="8">
        <v>6</v>
      </c>
    </row>
    <row r="218" spans="1:11" x14ac:dyDescent="0.25">
      <c r="A218" t="s">
        <v>245</v>
      </c>
      <c r="B218" s="1">
        <v>45740</v>
      </c>
      <c r="C218" t="s">
        <v>22</v>
      </c>
      <c r="D218" t="s">
        <v>30</v>
      </c>
      <c r="E218">
        <v>162</v>
      </c>
      <c r="F218" t="s">
        <v>46</v>
      </c>
      <c r="G218" t="s">
        <v>15</v>
      </c>
      <c r="H218" s="6">
        <v>361115</v>
      </c>
      <c r="I218" s="6">
        <v>427637</v>
      </c>
      <c r="J218" t="s">
        <v>32</v>
      </c>
      <c r="K218" s="8">
        <v>6</v>
      </c>
    </row>
    <row r="219" spans="1:11" x14ac:dyDescent="0.25">
      <c r="A219" t="s">
        <v>246</v>
      </c>
      <c r="B219" s="1">
        <v>45678</v>
      </c>
      <c r="C219" t="s">
        <v>38</v>
      </c>
      <c r="D219" t="s">
        <v>22</v>
      </c>
      <c r="E219">
        <v>709</v>
      </c>
      <c r="F219" t="s">
        <v>31</v>
      </c>
      <c r="G219" t="s">
        <v>15</v>
      </c>
      <c r="H219" s="6">
        <v>337787</v>
      </c>
      <c r="I219" s="6">
        <v>297351</v>
      </c>
      <c r="J219" t="s">
        <v>16</v>
      </c>
      <c r="K219" s="8">
        <v>6</v>
      </c>
    </row>
    <row r="220" spans="1:11" x14ac:dyDescent="0.25">
      <c r="A220" t="s">
        <v>247</v>
      </c>
      <c r="B220" s="1">
        <v>45698</v>
      </c>
      <c r="C220" t="s">
        <v>30</v>
      </c>
      <c r="D220" t="s">
        <v>22</v>
      </c>
      <c r="E220">
        <v>517</v>
      </c>
      <c r="F220" t="s">
        <v>19</v>
      </c>
      <c r="G220" t="s">
        <v>15</v>
      </c>
      <c r="H220" s="6">
        <v>278358</v>
      </c>
      <c r="I220" s="6">
        <v>307874</v>
      </c>
      <c r="J220" t="s">
        <v>32</v>
      </c>
      <c r="K220" s="8">
        <v>2</v>
      </c>
    </row>
    <row r="221" spans="1:11" x14ac:dyDescent="0.25">
      <c r="A221" t="s">
        <v>248</v>
      </c>
      <c r="B221" s="1">
        <v>45717</v>
      </c>
      <c r="C221" t="s">
        <v>18</v>
      </c>
      <c r="D221" t="s">
        <v>22</v>
      </c>
      <c r="E221">
        <v>1154</v>
      </c>
      <c r="F221" t="s">
        <v>31</v>
      </c>
      <c r="G221" t="s">
        <v>15</v>
      </c>
      <c r="H221" s="6">
        <v>394466</v>
      </c>
      <c r="I221" s="6">
        <v>358383</v>
      </c>
      <c r="J221" t="s">
        <v>16</v>
      </c>
      <c r="K221" s="8">
        <v>3</v>
      </c>
    </row>
    <row r="222" spans="1:11" x14ac:dyDescent="0.25">
      <c r="A222" t="s">
        <v>249</v>
      </c>
      <c r="B222" s="1">
        <v>45736</v>
      </c>
      <c r="C222" t="s">
        <v>12</v>
      </c>
      <c r="D222" t="s">
        <v>22</v>
      </c>
      <c r="E222">
        <v>388</v>
      </c>
      <c r="F222" t="s">
        <v>19</v>
      </c>
      <c r="G222" t="s">
        <v>20</v>
      </c>
      <c r="H222" s="6">
        <v>150757</v>
      </c>
      <c r="I222" s="6">
        <v>107389</v>
      </c>
      <c r="J222" t="s">
        <v>32</v>
      </c>
      <c r="K222" s="8">
        <v>3</v>
      </c>
    </row>
    <row r="223" spans="1:11" x14ac:dyDescent="0.25">
      <c r="A223" t="s">
        <v>250</v>
      </c>
      <c r="B223" s="1">
        <v>45723</v>
      </c>
      <c r="C223" t="s">
        <v>23</v>
      </c>
      <c r="D223" t="s">
        <v>13</v>
      </c>
      <c r="E223">
        <v>740</v>
      </c>
      <c r="F223" t="s">
        <v>31</v>
      </c>
      <c r="G223" t="s">
        <v>15</v>
      </c>
      <c r="H223" s="6">
        <v>199527</v>
      </c>
      <c r="I223" s="6">
        <v>249550</v>
      </c>
      <c r="J223" t="s">
        <v>32</v>
      </c>
      <c r="K223" s="8">
        <v>2</v>
      </c>
    </row>
    <row r="224" spans="1:11" x14ac:dyDescent="0.25">
      <c r="A224" t="s">
        <v>251</v>
      </c>
      <c r="B224" s="1">
        <v>45688</v>
      </c>
      <c r="C224" t="s">
        <v>30</v>
      </c>
      <c r="D224" t="s">
        <v>22</v>
      </c>
      <c r="E224">
        <v>147</v>
      </c>
      <c r="F224" t="s">
        <v>26</v>
      </c>
      <c r="G224" t="s">
        <v>15</v>
      </c>
      <c r="H224" s="6">
        <v>147211</v>
      </c>
      <c r="I224" s="6">
        <v>221104</v>
      </c>
      <c r="J224" t="s">
        <v>32</v>
      </c>
      <c r="K224" s="8">
        <v>4</v>
      </c>
    </row>
    <row r="225" spans="1:11" x14ac:dyDescent="0.25">
      <c r="A225" t="s">
        <v>252</v>
      </c>
      <c r="B225" s="1">
        <v>45694</v>
      </c>
      <c r="C225" t="s">
        <v>22</v>
      </c>
      <c r="D225" t="s">
        <v>18</v>
      </c>
      <c r="E225">
        <v>203</v>
      </c>
      <c r="F225" t="s">
        <v>26</v>
      </c>
      <c r="G225" t="s">
        <v>20</v>
      </c>
      <c r="H225" s="6">
        <v>247511</v>
      </c>
      <c r="I225" s="6">
        <v>262377</v>
      </c>
      <c r="J225" t="s">
        <v>32</v>
      </c>
      <c r="K225" s="8">
        <v>5</v>
      </c>
    </row>
    <row r="226" spans="1:11" x14ac:dyDescent="0.25">
      <c r="A226" t="s">
        <v>253</v>
      </c>
      <c r="B226" s="1">
        <v>45709</v>
      </c>
      <c r="C226" t="s">
        <v>13</v>
      </c>
      <c r="D226" t="s">
        <v>30</v>
      </c>
      <c r="E226">
        <v>374</v>
      </c>
      <c r="F226" t="s">
        <v>43</v>
      </c>
      <c r="G226" t="s">
        <v>15</v>
      </c>
      <c r="H226" s="6">
        <v>562660</v>
      </c>
      <c r="I226" s="6">
        <v>547324</v>
      </c>
      <c r="J226" t="s">
        <v>32</v>
      </c>
      <c r="K226" s="8">
        <v>6</v>
      </c>
    </row>
    <row r="227" spans="1:11" x14ac:dyDescent="0.25">
      <c r="A227" t="s">
        <v>254</v>
      </c>
      <c r="B227" s="1">
        <v>45707</v>
      </c>
      <c r="C227" t="s">
        <v>18</v>
      </c>
      <c r="D227" t="s">
        <v>12</v>
      </c>
      <c r="E227">
        <v>498</v>
      </c>
      <c r="F227" t="s">
        <v>19</v>
      </c>
      <c r="G227" t="s">
        <v>20</v>
      </c>
      <c r="H227" s="6">
        <v>290066</v>
      </c>
      <c r="I227" s="6">
        <v>312578</v>
      </c>
      <c r="J227" t="s">
        <v>16</v>
      </c>
      <c r="K227" s="8">
        <v>3</v>
      </c>
    </row>
    <row r="228" spans="1:11" x14ac:dyDescent="0.25">
      <c r="A228" t="s">
        <v>255</v>
      </c>
      <c r="B228" s="1">
        <v>45705</v>
      </c>
      <c r="C228" t="s">
        <v>30</v>
      </c>
      <c r="D228" t="s">
        <v>23</v>
      </c>
      <c r="E228">
        <v>343</v>
      </c>
      <c r="F228" t="s">
        <v>46</v>
      </c>
      <c r="G228" t="s">
        <v>15</v>
      </c>
      <c r="H228" s="6">
        <v>167456</v>
      </c>
      <c r="I228" s="6">
        <v>245262</v>
      </c>
      <c r="J228" t="s">
        <v>32</v>
      </c>
      <c r="K228" s="8">
        <v>1</v>
      </c>
    </row>
    <row r="229" spans="1:11" x14ac:dyDescent="0.25">
      <c r="A229" t="s">
        <v>256</v>
      </c>
      <c r="B229" s="1">
        <v>45663</v>
      </c>
      <c r="C229" t="s">
        <v>18</v>
      </c>
      <c r="D229" t="s">
        <v>38</v>
      </c>
      <c r="E229">
        <v>507</v>
      </c>
      <c r="F229" t="s">
        <v>26</v>
      </c>
      <c r="G229" t="s">
        <v>20</v>
      </c>
      <c r="H229" s="6">
        <v>415864</v>
      </c>
      <c r="I229" s="6">
        <v>432595</v>
      </c>
      <c r="J229" t="s">
        <v>16</v>
      </c>
      <c r="K229" s="8">
        <v>4</v>
      </c>
    </row>
    <row r="230" spans="1:11" x14ac:dyDescent="0.25">
      <c r="A230" t="s">
        <v>257</v>
      </c>
      <c r="B230" s="1">
        <v>45699</v>
      </c>
      <c r="C230" t="s">
        <v>13</v>
      </c>
      <c r="D230" t="s">
        <v>25</v>
      </c>
      <c r="E230">
        <v>1070</v>
      </c>
      <c r="F230" t="s">
        <v>14</v>
      </c>
      <c r="G230" t="s">
        <v>15</v>
      </c>
      <c r="H230" s="6">
        <v>372279</v>
      </c>
      <c r="I230" s="6">
        <v>382177</v>
      </c>
      <c r="J230" t="s">
        <v>16</v>
      </c>
      <c r="K230" s="8">
        <v>2</v>
      </c>
    </row>
    <row r="231" spans="1:11" x14ac:dyDescent="0.25">
      <c r="A231" t="s">
        <v>258</v>
      </c>
      <c r="B231" s="1">
        <v>45748</v>
      </c>
      <c r="C231" t="s">
        <v>18</v>
      </c>
      <c r="D231" t="s">
        <v>13</v>
      </c>
      <c r="E231">
        <v>788</v>
      </c>
      <c r="F231" t="s">
        <v>19</v>
      </c>
      <c r="G231" t="s">
        <v>15</v>
      </c>
      <c r="H231" s="6">
        <v>365979</v>
      </c>
      <c r="I231" s="6">
        <v>424544</v>
      </c>
      <c r="J231" t="s">
        <v>32</v>
      </c>
      <c r="K231" s="8">
        <v>5</v>
      </c>
    </row>
    <row r="232" spans="1:11" x14ac:dyDescent="0.25">
      <c r="A232" t="s">
        <v>259</v>
      </c>
      <c r="B232" s="1">
        <v>45746</v>
      </c>
      <c r="C232" t="s">
        <v>38</v>
      </c>
      <c r="D232" t="s">
        <v>22</v>
      </c>
      <c r="E232">
        <v>778</v>
      </c>
      <c r="F232" t="s">
        <v>43</v>
      </c>
      <c r="G232" t="s">
        <v>15</v>
      </c>
      <c r="H232" s="6">
        <v>453268</v>
      </c>
      <c r="I232" s="6">
        <v>417634</v>
      </c>
      <c r="J232" t="s">
        <v>32</v>
      </c>
      <c r="K232" s="8">
        <v>4</v>
      </c>
    </row>
    <row r="233" spans="1:11" x14ac:dyDescent="0.25">
      <c r="A233" t="s">
        <v>260</v>
      </c>
      <c r="B233" s="1">
        <v>45679</v>
      </c>
      <c r="C233" t="s">
        <v>13</v>
      </c>
      <c r="D233" t="s">
        <v>18</v>
      </c>
      <c r="E233">
        <v>566</v>
      </c>
      <c r="F233" t="s">
        <v>19</v>
      </c>
      <c r="G233" t="s">
        <v>15</v>
      </c>
      <c r="H233" s="6">
        <v>478221</v>
      </c>
      <c r="I233" s="6">
        <v>434952</v>
      </c>
      <c r="J233" t="s">
        <v>32</v>
      </c>
      <c r="K233" s="8">
        <v>5</v>
      </c>
    </row>
    <row r="234" spans="1:11" x14ac:dyDescent="0.25">
      <c r="A234" t="s">
        <v>261</v>
      </c>
      <c r="B234" s="1">
        <v>45682</v>
      </c>
      <c r="C234" t="s">
        <v>23</v>
      </c>
      <c r="D234" t="s">
        <v>13</v>
      </c>
      <c r="E234">
        <v>164</v>
      </c>
      <c r="F234" t="s">
        <v>14</v>
      </c>
      <c r="G234" t="s">
        <v>20</v>
      </c>
      <c r="H234" s="6">
        <v>400191</v>
      </c>
      <c r="I234" s="6">
        <v>474474</v>
      </c>
      <c r="J234" t="s">
        <v>16</v>
      </c>
      <c r="K234" s="8">
        <v>6</v>
      </c>
    </row>
    <row r="235" spans="1:11" x14ac:dyDescent="0.25">
      <c r="A235" t="s">
        <v>262</v>
      </c>
      <c r="B235" s="1">
        <v>45722</v>
      </c>
      <c r="C235" t="s">
        <v>13</v>
      </c>
      <c r="D235" t="s">
        <v>38</v>
      </c>
      <c r="E235">
        <v>410</v>
      </c>
      <c r="F235" t="s">
        <v>26</v>
      </c>
      <c r="G235" t="s">
        <v>15</v>
      </c>
      <c r="H235" s="6">
        <v>316510</v>
      </c>
      <c r="I235" s="6">
        <v>357015</v>
      </c>
      <c r="J235" t="s">
        <v>32</v>
      </c>
      <c r="K235" s="8">
        <v>2</v>
      </c>
    </row>
    <row r="236" spans="1:11" x14ac:dyDescent="0.25">
      <c r="A236" t="s">
        <v>263</v>
      </c>
      <c r="B236" s="1">
        <v>45742</v>
      </c>
      <c r="C236" t="s">
        <v>30</v>
      </c>
      <c r="D236" t="s">
        <v>23</v>
      </c>
      <c r="E236">
        <v>382</v>
      </c>
      <c r="F236" t="s">
        <v>14</v>
      </c>
      <c r="G236" t="s">
        <v>20</v>
      </c>
      <c r="H236" s="6">
        <v>371939</v>
      </c>
      <c r="I236" s="6">
        <v>349115</v>
      </c>
      <c r="J236" t="s">
        <v>32</v>
      </c>
      <c r="K236" s="8">
        <v>5</v>
      </c>
    </row>
    <row r="237" spans="1:11" x14ac:dyDescent="0.25">
      <c r="A237" t="s">
        <v>264</v>
      </c>
      <c r="B237" s="1">
        <v>45727</v>
      </c>
      <c r="C237" t="s">
        <v>30</v>
      </c>
      <c r="D237" t="s">
        <v>38</v>
      </c>
      <c r="E237">
        <v>454</v>
      </c>
      <c r="F237" t="s">
        <v>19</v>
      </c>
      <c r="G237" t="s">
        <v>15</v>
      </c>
      <c r="H237" s="6">
        <v>340996</v>
      </c>
      <c r="I237" s="6">
        <v>410549</v>
      </c>
      <c r="J237" t="s">
        <v>32</v>
      </c>
      <c r="K237" s="8">
        <v>5</v>
      </c>
    </row>
    <row r="238" spans="1:11" x14ac:dyDescent="0.25">
      <c r="A238" t="s">
        <v>265</v>
      </c>
      <c r="B238" s="1">
        <v>45729</v>
      </c>
      <c r="C238" t="s">
        <v>18</v>
      </c>
      <c r="D238" t="s">
        <v>23</v>
      </c>
      <c r="E238">
        <v>1091</v>
      </c>
      <c r="F238" t="s">
        <v>14</v>
      </c>
      <c r="G238" t="s">
        <v>15</v>
      </c>
      <c r="H238" s="6">
        <v>200801</v>
      </c>
      <c r="I238" s="6">
        <v>276281</v>
      </c>
      <c r="J238" t="s">
        <v>32</v>
      </c>
      <c r="K238" s="8">
        <v>2</v>
      </c>
    </row>
    <row r="239" spans="1:11" x14ac:dyDescent="0.25">
      <c r="A239" t="s">
        <v>266</v>
      </c>
      <c r="B239" s="1">
        <v>45719</v>
      </c>
      <c r="C239" t="s">
        <v>38</v>
      </c>
      <c r="D239" t="s">
        <v>13</v>
      </c>
      <c r="E239">
        <v>524</v>
      </c>
      <c r="F239" t="s">
        <v>26</v>
      </c>
      <c r="G239" t="s">
        <v>15</v>
      </c>
      <c r="H239" s="6">
        <v>461884</v>
      </c>
      <c r="I239" s="6">
        <v>504288</v>
      </c>
      <c r="J239" t="s">
        <v>32</v>
      </c>
      <c r="K239" s="8">
        <v>4</v>
      </c>
    </row>
    <row r="240" spans="1:11" x14ac:dyDescent="0.25">
      <c r="A240" t="s">
        <v>267</v>
      </c>
      <c r="B240" s="1">
        <v>45708</v>
      </c>
      <c r="C240" t="s">
        <v>18</v>
      </c>
      <c r="D240" t="s">
        <v>38</v>
      </c>
      <c r="E240">
        <v>689</v>
      </c>
      <c r="F240" t="s">
        <v>14</v>
      </c>
      <c r="G240" t="s">
        <v>15</v>
      </c>
      <c r="H240" s="6">
        <v>163897</v>
      </c>
      <c r="I240" s="6">
        <v>189063</v>
      </c>
      <c r="J240" t="s">
        <v>32</v>
      </c>
      <c r="K240" s="8">
        <v>6</v>
      </c>
    </row>
    <row r="241" spans="1:11" x14ac:dyDescent="0.25">
      <c r="A241" t="s">
        <v>268</v>
      </c>
      <c r="B241" s="1">
        <v>45702</v>
      </c>
      <c r="C241" t="s">
        <v>18</v>
      </c>
      <c r="D241" t="s">
        <v>30</v>
      </c>
      <c r="E241">
        <v>186</v>
      </c>
      <c r="F241" t="s">
        <v>31</v>
      </c>
      <c r="G241" t="s">
        <v>15</v>
      </c>
      <c r="H241" s="6">
        <v>250801</v>
      </c>
      <c r="I241" s="6">
        <v>326015</v>
      </c>
      <c r="J241" t="s">
        <v>16</v>
      </c>
      <c r="K241" s="8">
        <v>6</v>
      </c>
    </row>
    <row r="242" spans="1:11" x14ac:dyDescent="0.25">
      <c r="A242" t="s">
        <v>269</v>
      </c>
      <c r="B242" s="1">
        <v>45729</v>
      </c>
      <c r="C242" t="s">
        <v>30</v>
      </c>
      <c r="D242" t="s">
        <v>18</v>
      </c>
      <c r="E242">
        <v>538</v>
      </c>
      <c r="F242" t="s">
        <v>26</v>
      </c>
      <c r="G242" t="s">
        <v>15</v>
      </c>
      <c r="H242" s="6">
        <v>205941</v>
      </c>
      <c r="I242" s="6">
        <v>264462</v>
      </c>
      <c r="J242" t="s">
        <v>32</v>
      </c>
      <c r="K242" s="8">
        <v>5</v>
      </c>
    </row>
    <row r="243" spans="1:11" x14ac:dyDescent="0.25">
      <c r="A243" t="s">
        <v>270</v>
      </c>
      <c r="B243" s="1">
        <v>45739</v>
      </c>
      <c r="C243" t="s">
        <v>38</v>
      </c>
      <c r="D243" t="s">
        <v>13</v>
      </c>
      <c r="E243">
        <v>596</v>
      </c>
      <c r="F243" t="s">
        <v>43</v>
      </c>
      <c r="G243" t="s">
        <v>20</v>
      </c>
      <c r="H243" s="6">
        <v>126615</v>
      </c>
      <c r="I243" s="6">
        <v>164411</v>
      </c>
      <c r="J243" t="s">
        <v>16</v>
      </c>
      <c r="K243" s="8">
        <v>5</v>
      </c>
    </row>
    <row r="244" spans="1:11" x14ac:dyDescent="0.25">
      <c r="A244" t="s">
        <v>271</v>
      </c>
      <c r="B244" s="1">
        <v>45658</v>
      </c>
      <c r="C244" t="s">
        <v>22</v>
      </c>
      <c r="D244" t="s">
        <v>12</v>
      </c>
      <c r="E244">
        <v>776</v>
      </c>
      <c r="F244" t="s">
        <v>43</v>
      </c>
      <c r="G244" t="s">
        <v>15</v>
      </c>
      <c r="H244" s="6">
        <v>476102</v>
      </c>
      <c r="I244" s="6">
        <v>488020</v>
      </c>
      <c r="J244" t="s">
        <v>16</v>
      </c>
      <c r="K244" s="8">
        <v>1</v>
      </c>
    </row>
    <row r="245" spans="1:11" x14ac:dyDescent="0.25">
      <c r="A245" t="s">
        <v>272</v>
      </c>
      <c r="B245" s="1">
        <v>45699</v>
      </c>
      <c r="C245" t="s">
        <v>25</v>
      </c>
      <c r="D245" t="s">
        <v>38</v>
      </c>
      <c r="E245">
        <v>1077</v>
      </c>
      <c r="F245" t="s">
        <v>14</v>
      </c>
      <c r="G245" t="s">
        <v>15</v>
      </c>
      <c r="H245" s="6">
        <v>441069</v>
      </c>
      <c r="I245" s="6">
        <v>417212</v>
      </c>
      <c r="J245" t="s">
        <v>32</v>
      </c>
      <c r="K245" s="8">
        <v>7</v>
      </c>
    </row>
    <row r="246" spans="1:11" x14ac:dyDescent="0.25">
      <c r="A246" t="s">
        <v>273</v>
      </c>
      <c r="B246" s="1">
        <v>45680</v>
      </c>
      <c r="C246" t="s">
        <v>38</v>
      </c>
      <c r="D246" t="s">
        <v>23</v>
      </c>
      <c r="E246">
        <v>575</v>
      </c>
      <c r="F246" t="s">
        <v>43</v>
      </c>
      <c r="G246" t="s">
        <v>20</v>
      </c>
      <c r="H246" s="6">
        <v>380573</v>
      </c>
      <c r="I246" s="6">
        <v>427394</v>
      </c>
      <c r="J246" t="s">
        <v>16</v>
      </c>
      <c r="K246" s="8">
        <v>6</v>
      </c>
    </row>
    <row r="247" spans="1:11" x14ac:dyDescent="0.25">
      <c r="A247" t="s">
        <v>274</v>
      </c>
      <c r="B247" s="1">
        <v>45662</v>
      </c>
      <c r="C247" t="s">
        <v>23</v>
      </c>
      <c r="D247" t="s">
        <v>30</v>
      </c>
      <c r="E247">
        <v>913</v>
      </c>
      <c r="F247" t="s">
        <v>31</v>
      </c>
      <c r="G247" t="s">
        <v>20</v>
      </c>
      <c r="H247" s="6">
        <v>513118</v>
      </c>
      <c r="I247" s="6">
        <v>528048</v>
      </c>
      <c r="J247" t="s">
        <v>32</v>
      </c>
      <c r="K247" s="8">
        <v>2</v>
      </c>
    </row>
    <row r="248" spans="1:11" x14ac:dyDescent="0.25">
      <c r="A248" t="s">
        <v>275</v>
      </c>
      <c r="B248" s="1">
        <v>45675</v>
      </c>
      <c r="C248" t="s">
        <v>13</v>
      </c>
      <c r="D248" t="s">
        <v>22</v>
      </c>
      <c r="E248">
        <v>786</v>
      </c>
      <c r="F248" t="s">
        <v>46</v>
      </c>
      <c r="G248" t="s">
        <v>20</v>
      </c>
      <c r="H248" s="6">
        <v>249192</v>
      </c>
      <c r="I248" s="6">
        <v>258744</v>
      </c>
      <c r="J248" t="s">
        <v>32</v>
      </c>
      <c r="K248" s="8">
        <v>6</v>
      </c>
    </row>
    <row r="249" spans="1:11" x14ac:dyDescent="0.25">
      <c r="A249" t="s">
        <v>276</v>
      </c>
      <c r="B249" s="1">
        <v>45681</v>
      </c>
      <c r="C249" t="s">
        <v>30</v>
      </c>
      <c r="D249" t="s">
        <v>25</v>
      </c>
      <c r="E249">
        <v>777</v>
      </c>
      <c r="F249" t="s">
        <v>31</v>
      </c>
      <c r="G249" t="s">
        <v>20</v>
      </c>
      <c r="H249" s="6">
        <v>185193</v>
      </c>
      <c r="I249" s="6">
        <v>231022</v>
      </c>
      <c r="J249" t="s">
        <v>32</v>
      </c>
      <c r="K249" s="8">
        <v>4</v>
      </c>
    </row>
    <row r="250" spans="1:11" x14ac:dyDescent="0.25">
      <c r="A250" t="s">
        <v>277</v>
      </c>
      <c r="B250" s="1">
        <v>45712</v>
      </c>
      <c r="C250" t="s">
        <v>13</v>
      </c>
      <c r="D250" t="s">
        <v>23</v>
      </c>
      <c r="E250">
        <v>495</v>
      </c>
      <c r="F250" t="s">
        <v>26</v>
      </c>
      <c r="G250" t="s">
        <v>15</v>
      </c>
      <c r="H250" s="6">
        <v>192009</v>
      </c>
      <c r="I250" s="6">
        <v>222088</v>
      </c>
      <c r="J250" t="s">
        <v>32</v>
      </c>
      <c r="K250" s="8">
        <v>7</v>
      </c>
    </row>
    <row r="251" spans="1:11" x14ac:dyDescent="0.25">
      <c r="A251" t="s">
        <v>278</v>
      </c>
      <c r="B251" s="1">
        <v>45658</v>
      </c>
      <c r="C251" t="s">
        <v>18</v>
      </c>
      <c r="D251" t="s">
        <v>12</v>
      </c>
      <c r="E251">
        <v>478</v>
      </c>
      <c r="F251" t="s">
        <v>19</v>
      </c>
      <c r="G251" t="s">
        <v>20</v>
      </c>
      <c r="H251" s="6">
        <v>173721</v>
      </c>
      <c r="I251" s="6">
        <v>186301</v>
      </c>
      <c r="J251" t="s">
        <v>16</v>
      </c>
      <c r="K251" s="8">
        <v>3</v>
      </c>
    </row>
  </sheetData>
  <pageMargins left="0.75" right="0.75" top="1" bottom="1" header="0.5" footer="0.5"/>
  <pageSetup scale="20" orientation="landscape" r:id="rId1"/>
  <rowBreaks count="1" manualBreakCount="1">
    <brk id="94" max="10"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1"/>
  <sheetViews>
    <sheetView workbookViewId="0">
      <selection activeCell="A2" sqref="A2:F251"/>
    </sheetView>
  </sheetViews>
  <sheetFormatPr defaultRowHeight="15" x14ac:dyDescent="0.25"/>
  <cols>
    <col min="1" max="1" width="14.85546875" customWidth="1"/>
    <col min="2" max="6" width="11.85546875" style="6" customWidth="1"/>
  </cols>
  <sheetData>
    <row r="1" spans="1:6" x14ac:dyDescent="0.25">
      <c r="A1" s="2" t="s">
        <v>0</v>
      </c>
      <c r="B1" s="5" t="s">
        <v>279</v>
      </c>
      <c r="C1" s="6" t="s">
        <v>280</v>
      </c>
      <c r="D1" s="6" t="s">
        <v>281</v>
      </c>
      <c r="E1" s="6" t="s">
        <v>282</v>
      </c>
      <c r="F1" s="6" t="s">
        <v>283</v>
      </c>
    </row>
    <row r="2" spans="1:6" x14ac:dyDescent="0.25">
      <c r="A2" t="s">
        <v>11</v>
      </c>
      <c r="B2" s="6">
        <v>118363</v>
      </c>
      <c r="C2" s="6">
        <v>30137</v>
      </c>
      <c r="D2" s="6">
        <v>35435</v>
      </c>
      <c r="E2" s="6">
        <v>44277</v>
      </c>
      <c r="F2" s="6">
        <v>29699</v>
      </c>
    </row>
    <row r="3" spans="1:6" x14ac:dyDescent="0.25">
      <c r="A3" t="s">
        <v>17</v>
      </c>
      <c r="B3" s="6">
        <v>119990</v>
      </c>
      <c r="C3" s="6">
        <v>26602</v>
      </c>
      <c r="D3" s="6">
        <v>39788</v>
      </c>
      <c r="E3" s="6">
        <v>53172</v>
      </c>
      <c r="F3" s="6">
        <v>28687</v>
      </c>
    </row>
    <row r="4" spans="1:6" x14ac:dyDescent="0.25">
      <c r="A4" t="s">
        <v>21</v>
      </c>
      <c r="B4" s="6">
        <v>200176</v>
      </c>
      <c r="C4" s="6">
        <v>5749</v>
      </c>
      <c r="D4" s="6">
        <v>37141</v>
      </c>
      <c r="E4" s="6">
        <v>57839</v>
      </c>
      <c r="F4" s="6">
        <v>16781</v>
      </c>
    </row>
    <row r="5" spans="1:6" x14ac:dyDescent="0.25">
      <c r="A5" t="s">
        <v>24</v>
      </c>
      <c r="B5" s="6">
        <v>231605</v>
      </c>
      <c r="C5" s="6">
        <v>20486</v>
      </c>
      <c r="D5" s="6">
        <v>24071</v>
      </c>
      <c r="E5" s="6">
        <v>58764</v>
      </c>
      <c r="F5" s="6">
        <v>8873</v>
      </c>
    </row>
    <row r="6" spans="1:6" x14ac:dyDescent="0.25">
      <c r="A6" t="s">
        <v>27</v>
      </c>
      <c r="B6" s="6">
        <v>172000</v>
      </c>
      <c r="C6" s="6">
        <v>25106</v>
      </c>
      <c r="D6" s="6">
        <v>30467</v>
      </c>
      <c r="E6" s="6">
        <v>41569</v>
      </c>
      <c r="F6" s="6">
        <v>27481</v>
      </c>
    </row>
    <row r="7" spans="1:6" x14ac:dyDescent="0.25">
      <c r="A7" t="s">
        <v>28</v>
      </c>
      <c r="B7" s="6">
        <v>181732</v>
      </c>
      <c r="C7" s="6">
        <v>25380</v>
      </c>
      <c r="D7" s="6">
        <v>65238</v>
      </c>
      <c r="E7" s="6">
        <v>22694</v>
      </c>
      <c r="F7" s="6">
        <v>25929</v>
      </c>
    </row>
    <row r="8" spans="1:6" x14ac:dyDescent="0.25">
      <c r="A8" t="s">
        <v>29</v>
      </c>
      <c r="B8" s="6">
        <v>290158</v>
      </c>
      <c r="C8" s="6">
        <v>24335</v>
      </c>
      <c r="D8" s="6">
        <v>44087</v>
      </c>
      <c r="E8" s="6">
        <v>55280</v>
      </c>
      <c r="F8" s="6">
        <v>12236</v>
      </c>
    </row>
    <row r="9" spans="1:6" x14ac:dyDescent="0.25">
      <c r="A9" t="s">
        <v>33</v>
      </c>
      <c r="B9" s="6">
        <v>107443</v>
      </c>
      <c r="C9" s="6">
        <v>13753</v>
      </c>
      <c r="D9" s="6">
        <v>51338</v>
      </c>
      <c r="E9" s="6">
        <v>25039</v>
      </c>
      <c r="F9" s="6">
        <v>19908</v>
      </c>
    </row>
    <row r="10" spans="1:6" x14ac:dyDescent="0.25">
      <c r="A10" t="s">
        <v>34</v>
      </c>
      <c r="B10" s="6">
        <v>246014</v>
      </c>
      <c r="C10" s="6">
        <v>29485</v>
      </c>
      <c r="D10" s="6">
        <v>47252</v>
      </c>
      <c r="E10" s="6">
        <v>50994</v>
      </c>
      <c r="F10" s="6">
        <v>20428</v>
      </c>
    </row>
    <row r="11" spans="1:6" x14ac:dyDescent="0.25">
      <c r="A11" t="s">
        <v>35</v>
      </c>
      <c r="B11" s="6">
        <v>248534</v>
      </c>
      <c r="C11" s="6">
        <v>19313</v>
      </c>
      <c r="D11" s="6">
        <v>69929</v>
      </c>
      <c r="E11" s="6">
        <v>31217</v>
      </c>
      <c r="F11" s="6">
        <v>27293</v>
      </c>
    </row>
    <row r="12" spans="1:6" x14ac:dyDescent="0.25">
      <c r="A12" t="s">
        <v>36</v>
      </c>
      <c r="B12" s="6">
        <v>247850</v>
      </c>
      <c r="C12" s="6">
        <v>10365</v>
      </c>
      <c r="D12" s="6">
        <v>54439</v>
      </c>
      <c r="E12" s="6">
        <v>44278</v>
      </c>
      <c r="F12" s="6">
        <v>22307</v>
      </c>
    </row>
    <row r="13" spans="1:6" x14ac:dyDescent="0.25">
      <c r="A13" t="s">
        <v>37</v>
      </c>
      <c r="B13" s="6">
        <v>234488</v>
      </c>
      <c r="C13" s="6">
        <v>28709</v>
      </c>
      <c r="D13" s="6">
        <v>25118</v>
      </c>
      <c r="E13" s="6">
        <v>51973</v>
      </c>
      <c r="F13" s="6">
        <v>8676</v>
      </c>
    </row>
    <row r="14" spans="1:6" x14ac:dyDescent="0.25">
      <c r="A14" t="s">
        <v>39</v>
      </c>
      <c r="B14" s="6">
        <v>66189</v>
      </c>
      <c r="C14" s="6">
        <v>38127</v>
      </c>
      <c r="D14" s="6">
        <v>33248</v>
      </c>
      <c r="E14" s="6">
        <v>52532</v>
      </c>
      <c r="F14" s="6">
        <v>22585</v>
      </c>
    </row>
    <row r="15" spans="1:6" x14ac:dyDescent="0.25">
      <c r="A15" t="s">
        <v>40</v>
      </c>
      <c r="B15" s="6">
        <v>89282</v>
      </c>
      <c r="C15" s="6">
        <v>15783</v>
      </c>
      <c r="D15" s="6">
        <v>41503</v>
      </c>
      <c r="E15" s="6">
        <v>49101</v>
      </c>
      <c r="F15" s="6">
        <v>19478</v>
      </c>
    </row>
    <row r="16" spans="1:6" x14ac:dyDescent="0.25">
      <c r="A16" t="s">
        <v>41</v>
      </c>
      <c r="B16" s="6">
        <v>80471</v>
      </c>
      <c r="C16" s="6">
        <v>18461</v>
      </c>
      <c r="D16" s="6">
        <v>66983</v>
      </c>
      <c r="E16" s="6">
        <v>53217</v>
      </c>
      <c r="F16" s="6">
        <v>21017</v>
      </c>
    </row>
    <row r="17" spans="1:6" x14ac:dyDescent="0.25">
      <c r="A17" t="s">
        <v>42</v>
      </c>
      <c r="B17" s="6">
        <v>73839</v>
      </c>
      <c r="C17" s="6">
        <v>38447</v>
      </c>
      <c r="D17" s="6">
        <v>49195</v>
      </c>
      <c r="E17" s="6">
        <v>18646</v>
      </c>
      <c r="F17" s="6">
        <v>19858</v>
      </c>
    </row>
    <row r="18" spans="1:6" x14ac:dyDescent="0.25">
      <c r="A18" t="s">
        <v>44</v>
      </c>
      <c r="B18" s="6">
        <v>84588</v>
      </c>
      <c r="C18" s="6">
        <v>38636</v>
      </c>
      <c r="D18" s="6">
        <v>47225</v>
      </c>
      <c r="E18" s="6">
        <v>44936</v>
      </c>
      <c r="F18" s="6">
        <v>23478</v>
      </c>
    </row>
    <row r="19" spans="1:6" x14ac:dyDescent="0.25">
      <c r="A19" t="s">
        <v>45</v>
      </c>
      <c r="B19" s="6">
        <v>65135</v>
      </c>
      <c r="C19" s="6">
        <v>35302</v>
      </c>
      <c r="D19" s="6">
        <v>64090</v>
      </c>
      <c r="E19" s="6">
        <v>35196</v>
      </c>
      <c r="F19" s="6">
        <v>28700</v>
      </c>
    </row>
    <row r="20" spans="1:6" x14ac:dyDescent="0.25">
      <c r="A20" t="s">
        <v>47</v>
      </c>
      <c r="B20" s="6">
        <v>55706</v>
      </c>
      <c r="C20" s="6">
        <v>30948</v>
      </c>
      <c r="D20" s="6">
        <v>36676</v>
      </c>
      <c r="E20" s="6">
        <v>15197</v>
      </c>
      <c r="F20" s="6">
        <v>29438</v>
      </c>
    </row>
    <row r="21" spans="1:6" x14ac:dyDescent="0.25">
      <c r="A21" t="s">
        <v>48</v>
      </c>
      <c r="B21" s="6">
        <v>107121</v>
      </c>
      <c r="C21" s="6">
        <v>9786</v>
      </c>
      <c r="D21" s="6">
        <v>22968</v>
      </c>
      <c r="E21" s="6">
        <v>42767</v>
      </c>
      <c r="F21" s="6">
        <v>16289</v>
      </c>
    </row>
    <row r="22" spans="1:6" x14ac:dyDescent="0.25">
      <c r="A22" t="s">
        <v>49</v>
      </c>
      <c r="B22" s="6">
        <v>233601</v>
      </c>
      <c r="C22" s="6">
        <v>9178</v>
      </c>
      <c r="D22" s="6">
        <v>55465</v>
      </c>
      <c r="E22" s="6">
        <v>18948</v>
      </c>
      <c r="F22" s="6">
        <v>7261</v>
      </c>
    </row>
    <row r="23" spans="1:6" x14ac:dyDescent="0.25">
      <c r="A23" t="s">
        <v>50</v>
      </c>
      <c r="B23" s="6">
        <v>294783</v>
      </c>
      <c r="C23" s="6">
        <v>35937</v>
      </c>
      <c r="D23" s="6">
        <v>22079</v>
      </c>
      <c r="E23" s="6">
        <v>33814</v>
      </c>
      <c r="F23" s="6">
        <v>18397</v>
      </c>
    </row>
    <row r="24" spans="1:6" x14ac:dyDescent="0.25">
      <c r="A24" t="s">
        <v>51</v>
      </c>
      <c r="B24" s="6">
        <v>97181</v>
      </c>
      <c r="C24" s="6">
        <v>13875</v>
      </c>
      <c r="D24" s="6">
        <v>70189</v>
      </c>
      <c r="E24" s="6">
        <v>57042</v>
      </c>
      <c r="F24" s="6">
        <v>28897</v>
      </c>
    </row>
    <row r="25" spans="1:6" x14ac:dyDescent="0.25">
      <c r="A25" t="s">
        <v>52</v>
      </c>
      <c r="B25" s="6">
        <v>219313</v>
      </c>
      <c r="C25" s="6">
        <v>32548</v>
      </c>
      <c r="D25" s="6">
        <v>44540</v>
      </c>
      <c r="E25" s="6">
        <v>40066</v>
      </c>
      <c r="F25" s="6">
        <v>19697</v>
      </c>
    </row>
    <row r="26" spans="1:6" x14ac:dyDescent="0.25">
      <c r="A26" t="s">
        <v>53</v>
      </c>
      <c r="B26" s="6">
        <v>277965</v>
      </c>
      <c r="C26" s="6">
        <v>29739</v>
      </c>
      <c r="D26" s="6">
        <v>44618</v>
      </c>
      <c r="E26" s="6">
        <v>20259</v>
      </c>
      <c r="F26" s="6">
        <v>27371</v>
      </c>
    </row>
    <row r="27" spans="1:6" x14ac:dyDescent="0.25">
      <c r="A27" t="s">
        <v>54</v>
      </c>
      <c r="B27" s="6">
        <v>223484</v>
      </c>
      <c r="C27" s="6">
        <v>13715</v>
      </c>
      <c r="D27" s="6">
        <v>62830</v>
      </c>
      <c r="E27" s="6">
        <v>37791</v>
      </c>
      <c r="F27" s="6">
        <v>8887</v>
      </c>
    </row>
    <row r="28" spans="1:6" x14ac:dyDescent="0.25">
      <c r="A28" t="s">
        <v>55</v>
      </c>
      <c r="B28" s="6">
        <v>96785</v>
      </c>
      <c r="C28" s="6">
        <v>30759</v>
      </c>
      <c r="D28" s="6">
        <v>54658</v>
      </c>
      <c r="E28" s="6">
        <v>23345</v>
      </c>
      <c r="F28" s="6">
        <v>28850</v>
      </c>
    </row>
    <row r="29" spans="1:6" x14ac:dyDescent="0.25">
      <c r="A29" t="s">
        <v>56</v>
      </c>
      <c r="B29" s="6">
        <v>108376</v>
      </c>
      <c r="C29" s="6">
        <v>5227</v>
      </c>
      <c r="D29" s="6">
        <v>69556</v>
      </c>
      <c r="E29" s="6">
        <v>16489</v>
      </c>
      <c r="F29" s="6">
        <v>14776</v>
      </c>
    </row>
    <row r="30" spans="1:6" x14ac:dyDescent="0.25">
      <c r="A30" t="s">
        <v>57</v>
      </c>
      <c r="B30" s="6">
        <v>171373</v>
      </c>
      <c r="C30" s="6">
        <v>32795</v>
      </c>
      <c r="D30" s="6">
        <v>54860</v>
      </c>
      <c r="E30" s="6">
        <v>39856</v>
      </c>
      <c r="F30" s="6">
        <v>12525</v>
      </c>
    </row>
    <row r="31" spans="1:6" x14ac:dyDescent="0.25">
      <c r="A31" t="s">
        <v>58</v>
      </c>
      <c r="B31" s="6">
        <v>114883</v>
      </c>
      <c r="C31" s="6">
        <v>35187</v>
      </c>
      <c r="D31" s="6">
        <v>42685</v>
      </c>
      <c r="E31" s="6">
        <v>25166</v>
      </c>
      <c r="F31" s="6">
        <v>14032</v>
      </c>
    </row>
    <row r="32" spans="1:6" x14ac:dyDescent="0.25">
      <c r="A32" t="s">
        <v>59</v>
      </c>
      <c r="B32" s="6">
        <v>99409</v>
      </c>
      <c r="C32" s="6">
        <v>12395</v>
      </c>
      <c r="D32" s="6">
        <v>22111</v>
      </c>
      <c r="E32" s="6">
        <v>58266</v>
      </c>
      <c r="F32" s="6">
        <v>18737</v>
      </c>
    </row>
    <row r="33" spans="1:6" x14ac:dyDescent="0.25">
      <c r="A33" t="s">
        <v>60</v>
      </c>
      <c r="B33" s="6">
        <v>211198</v>
      </c>
      <c r="C33" s="6">
        <v>6025</v>
      </c>
      <c r="D33" s="6">
        <v>35772</v>
      </c>
      <c r="E33" s="6">
        <v>28505</v>
      </c>
      <c r="F33" s="6">
        <v>7204</v>
      </c>
    </row>
    <row r="34" spans="1:6" x14ac:dyDescent="0.25">
      <c r="A34" t="s">
        <v>61</v>
      </c>
      <c r="B34" s="6">
        <v>76449</v>
      </c>
      <c r="C34" s="6">
        <v>7200</v>
      </c>
      <c r="D34" s="6">
        <v>49257</v>
      </c>
      <c r="E34" s="6">
        <v>54176</v>
      </c>
      <c r="F34" s="6">
        <v>27020</v>
      </c>
    </row>
    <row r="35" spans="1:6" x14ac:dyDescent="0.25">
      <c r="A35" t="s">
        <v>62</v>
      </c>
      <c r="B35" s="6">
        <v>234362</v>
      </c>
      <c r="C35" s="6">
        <v>8190</v>
      </c>
      <c r="D35" s="6">
        <v>36038</v>
      </c>
      <c r="E35" s="6">
        <v>17899</v>
      </c>
      <c r="F35" s="6">
        <v>18181</v>
      </c>
    </row>
    <row r="36" spans="1:6" x14ac:dyDescent="0.25">
      <c r="A36" t="s">
        <v>63</v>
      </c>
      <c r="B36" s="6">
        <v>165071</v>
      </c>
      <c r="C36" s="6">
        <v>20357</v>
      </c>
      <c r="D36" s="6">
        <v>55373</v>
      </c>
      <c r="E36" s="6">
        <v>29238</v>
      </c>
      <c r="F36" s="6">
        <v>29719</v>
      </c>
    </row>
    <row r="37" spans="1:6" x14ac:dyDescent="0.25">
      <c r="A37" t="s">
        <v>64</v>
      </c>
      <c r="B37" s="6">
        <v>276421</v>
      </c>
      <c r="C37" s="6">
        <v>8699</v>
      </c>
      <c r="D37" s="6">
        <v>29183</v>
      </c>
      <c r="E37" s="6">
        <v>48023</v>
      </c>
      <c r="F37" s="6">
        <v>14478</v>
      </c>
    </row>
    <row r="38" spans="1:6" x14ac:dyDescent="0.25">
      <c r="A38" t="s">
        <v>65</v>
      </c>
      <c r="B38" s="6">
        <v>111384</v>
      </c>
      <c r="C38" s="6">
        <v>25899</v>
      </c>
      <c r="D38" s="6">
        <v>57845</v>
      </c>
      <c r="E38" s="6">
        <v>54185</v>
      </c>
      <c r="F38" s="6">
        <v>27037</v>
      </c>
    </row>
    <row r="39" spans="1:6" x14ac:dyDescent="0.25">
      <c r="A39" t="s">
        <v>66</v>
      </c>
      <c r="B39" s="6">
        <v>264534</v>
      </c>
      <c r="C39" s="6">
        <v>26015</v>
      </c>
      <c r="D39" s="6">
        <v>35525</v>
      </c>
      <c r="E39" s="6">
        <v>34776</v>
      </c>
      <c r="F39" s="6">
        <v>9694</v>
      </c>
    </row>
    <row r="40" spans="1:6" x14ac:dyDescent="0.25">
      <c r="A40" t="s">
        <v>67</v>
      </c>
      <c r="B40" s="6">
        <v>223070</v>
      </c>
      <c r="C40" s="6">
        <v>39160</v>
      </c>
      <c r="D40" s="6">
        <v>34486</v>
      </c>
      <c r="E40" s="6">
        <v>42103</v>
      </c>
      <c r="F40" s="6">
        <v>14846</v>
      </c>
    </row>
    <row r="41" spans="1:6" x14ac:dyDescent="0.25">
      <c r="A41" t="s">
        <v>68</v>
      </c>
      <c r="B41" s="6">
        <v>122129</v>
      </c>
      <c r="C41" s="6">
        <v>8994</v>
      </c>
      <c r="D41" s="6">
        <v>56485</v>
      </c>
      <c r="E41" s="6">
        <v>53775</v>
      </c>
      <c r="F41" s="6">
        <v>29091</v>
      </c>
    </row>
    <row r="42" spans="1:6" x14ac:dyDescent="0.25">
      <c r="A42" t="s">
        <v>69</v>
      </c>
      <c r="B42" s="6">
        <v>288964</v>
      </c>
      <c r="C42" s="6">
        <v>16477</v>
      </c>
      <c r="D42" s="6">
        <v>61025</v>
      </c>
      <c r="E42" s="6">
        <v>59482</v>
      </c>
      <c r="F42" s="6">
        <v>18998</v>
      </c>
    </row>
    <row r="43" spans="1:6" x14ac:dyDescent="0.25">
      <c r="A43" t="s">
        <v>70</v>
      </c>
      <c r="B43" s="6">
        <v>195712</v>
      </c>
      <c r="C43" s="6">
        <v>37481</v>
      </c>
      <c r="D43" s="6">
        <v>23072</v>
      </c>
      <c r="E43" s="6">
        <v>37571</v>
      </c>
      <c r="F43" s="6">
        <v>26080</v>
      </c>
    </row>
    <row r="44" spans="1:6" x14ac:dyDescent="0.25">
      <c r="A44" t="s">
        <v>71</v>
      </c>
      <c r="B44" s="6">
        <v>225988</v>
      </c>
      <c r="C44" s="6">
        <v>29979</v>
      </c>
      <c r="D44" s="6">
        <v>71498</v>
      </c>
      <c r="E44" s="6">
        <v>49371</v>
      </c>
      <c r="F44" s="6">
        <v>15444</v>
      </c>
    </row>
    <row r="45" spans="1:6" x14ac:dyDescent="0.25">
      <c r="A45" t="s">
        <v>72</v>
      </c>
      <c r="B45" s="6">
        <v>232533</v>
      </c>
      <c r="C45" s="6">
        <v>32284</v>
      </c>
      <c r="D45" s="6">
        <v>46755</v>
      </c>
      <c r="E45" s="6">
        <v>24779</v>
      </c>
      <c r="F45" s="6">
        <v>14826</v>
      </c>
    </row>
    <row r="46" spans="1:6" x14ac:dyDescent="0.25">
      <c r="A46" t="s">
        <v>73</v>
      </c>
      <c r="B46" s="6">
        <v>148686</v>
      </c>
      <c r="C46" s="6">
        <v>17050</v>
      </c>
      <c r="D46" s="6">
        <v>69441</v>
      </c>
      <c r="E46" s="6">
        <v>50253</v>
      </c>
      <c r="F46" s="6">
        <v>20516</v>
      </c>
    </row>
    <row r="47" spans="1:6" x14ac:dyDescent="0.25">
      <c r="A47" t="s">
        <v>74</v>
      </c>
      <c r="B47" s="6">
        <v>113168</v>
      </c>
      <c r="C47" s="6">
        <v>19768</v>
      </c>
      <c r="D47" s="6">
        <v>39709</v>
      </c>
      <c r="E47" s="6">
        <v>24460</v>
      </c>
      <c r="F47" s="6">
        <v>20172</v>
      </c>
    </row>
    <row r="48" spans="1:6" x14ac:dyDescent="0.25">
      <c r="A48" t="s">
        <v>75</v>
      </c>
      <c r="B48" s="6">
        <v>289793</v>
      </c>
      <c r="C48" s="6">
        <v>8776</v>
      </c>
      <c r="D48" s="6">
        <v>56856</v>
      </c>
      <c r="E48" s="6">
        <v>42045</v>
      </c>
      <c r="F48" s="6">
        <v>18648</v>
      </c>
    </row>
    <row r="49" spans="1:6" x14ac:dyDescent="0.25">
      <c r="A49" t="s">
        <v>76</v>
      </c>
      <c r="B49" s="6">
        <v>196089</v>
      </c>
      <c r="C49" s="6">
        <v>39733</v>
      </c>
      <c r="D49" s="6">
        <v>28787</v>
      </c>
      <c r="E49" s="6">
        <v>40455</v>
      </c>
      <c r="F49" s="6">
        <v>12957</v>
      </c>
    </row>
    <row r="50" spans="1:6" x14ac:dyDescent="0.25">
      <c r="A50" t="s">
        <v>77</v>
      </c>
      <c r="B50" s="6">
        <v>116845</v>
      </c>
      <c r="C50" s="6">
        <v>18325</v>
      </c>
      <c r="D50" s="6">
        <v>41644</v>
      </c>
      <c r="E50" s="6">
        <v>57382</v>
      </c>
      <c r="F50" s="6">
        <v>7590</v>
      </c>
    </row>
    <row r="51" spans="1:6" x14ac:dyDescent="0.25">
      <c r="A51" t="s">
        <v>78</v>
      </c>
      <c r="B51" s="6">
        <v>291756</v>
      </c>
      <c r="C51" s="6">
        <v>34477</v>
      </c>
      <c r="D51" s="6">
        <v>75517</v>
      </c>
      <c r="E51" s="6">
        <v>39318</v>
      </c>
      <c r="F51" s="6">
        <v>8029</v>
      </c>
    </row>
    <row r="52" spans="1:6" x14ac:dyDescent="0.25">
      <c r="A52" t="s">
        <v>79</v>
      </c>
      <c r="B52" s="6">
        <v>190413</v>
      </c>
      <c r="C52" s="6">
        <v>17483</v>
      </c>
      <c r="D52" s="6">
        <v>23377</v>
      </c>
      <c r="E52" s="6">
        <v>32593</v>
      </c>
      <c r="F52" s="6">
        <v>17359</v>
      </c>
    </row>
    <row r="53" spans="1:6" x14ac:dyDescent="0.25">
      <c r="A53" t="s">
        <v>80</v>
      </c>
      <c r="B53" s="6">
        <v>226599</v>
      </c>
      <c r="C53" s="6">
        <v>7591</v>
      </c>
      <c r="D53" s="6">
        <v>77253</v>
      </c>
      <c r="E53" s="6">
        <v>19769</v>
      </c>
      <c r="F53" s="6">
        <v>11165</v>
      </c>
    </row>
    <row r="54" spans="1:6" x14ac:dyDescent="0.25">
      <c r="A54" t="s">
        <v>81</v>
      </c>
      <c r="B54" s="6">
        <v>260934</v>
      </c>
      <c r="C54" s="6">
        <v>19222</v>
      </c>
      <c r="D54" s="6">
        <v>51417</v>
      </c>
      <c r="E54" s="6">
        <v>28689</v>
      </c>
      <c r="F54" s="6">
        <v>15910</v>
      </c>
    </row>
    <row r="55" spans="1:6" x14ac:dyDescent="0.25">
      <c r="A55" t="s">
        <v>82</v>
      </c>
      <c r="B55" s="6">
        <v>129478</v>
      </c>
      <c r="C55" s="6">
        <v>6004</v>
      </c>
      <c r="D55" s="6">
        <v>33881</v>
      </c>
      <c r="E55" s="6">
        <v>27453</v>
      </c>
      <c r="F55" s="6">
        <v>29296</v>
      </c>
    </row>
    <row r="56" spans="1:6" x14ac:dyDescent="0.25">
      <c r="A56" t="s">
        <v>83</v>
      </c>
      <c r="B56" s="6">
        <v>80753</v>
      </c>
      <c r="C56" s="6">
        <v>36386</v>
      </c>
      <c r="D56" s="6">
        <v>79928</v>
      </c>
      <c r="E56" s="6">
        <v>30898</v>
      </c>
      <c r="F56" s="6">
        <v>27794</v>
      </c>
    </row>
    <row r="57" spans="1:6" x14ac:dyDescent="0.25">
      <c r="A57" t="s">
        <v>84</v>
      </c>
      <c r="B57" s="6">
        <v>208440</v>
      </c>
      <c r="C57" s="6">
        <v>18402</v>
      </c>
      <c r="D57" s="6">
        <v>45993</v>
      </c>
      <c r="E57" s="6">
        <v>30684</v>
      </c>
      <c r="F57" s="6">
        <v>23090</v>
      </c>
    </row>
    <row r="58" spans="1:6" x14ac:dyDescent="0.25">
      <c r="A58" t="s">
        <v>85</v>
      </c>
      <c r="B58" s="6">
        <v>134309</v>
      </c>
      <c r="C58" s="6">
        <v>23550</v>
      </c>
      <c r="D58" s="6">
        <v>44947</v>
      </c>
      <c r="E58" s="6">
        <v>45556</v>
      </c>
      <c r="F58" s="6">
        <v>22486</v>
      </c>
    </row>
    <row r="59" spans="1:6" x14ac:dyDescent="0.25">
      <c r="A59" t="s">
        <v>86</v>
      </c>
      <c r="B59" s="6">
        <v>220058</v>
      </c>
      <c r="C59" s="6">
        <v>28544</v>
      </c>
      <c r="D59" s="6">
        <v>40212</v>
      </c>
      <c r="E59" s="6">
        <v>32141</v>
      </c>
      <c r="F59" s="6">
        <v>16784</v>
      </c>
    </row>
    <row r="60" spans="1:6" x14ac:dyDescent="0.25">
      <c r="A60" t="s">
        <v>87</v>
      </c>
      <c r="B60" s="6">
        <v>184431</v>
      </c>
      <c r="C60" s="6">
        <v>37589</v>
      </c>
      <c r="D60" s="6">
        <v>50540</v>
      </c>
      <c r="E60" s="6">
        <v>21462</v>
      </c>
      <c r="F60" s="6">
        <v>28672</v>
      </c>
    </row>
    <row r="61" spans="1:6" x14ac:dyDescent="0.25">
      <c r="A61" t="s">
        <v>88</v>
      </c>
      <c r="B61" s="6">
        <v>173074</v>
      </c>
      <c r="C61" s="6">
        <v>25986</v>
      </c>
      <c r="D61" s="6">
        <v>79921</v>
      </c>
      <c r="E61" s="6">
        <v>28312</v>
      </c>
      <c r="F61" s="6">
        <v>17147</v>
      </c>
    </row>
    <row r="62" spans="1:6" x14ac:dyDescent="0.25">
      <c r="A62" t="s">
        <v>89</v>
      </c>
      <c r="B62" s="6">
        <v>132030</v>
      </c>
      <c r="C62" s="6">
        <v>32127</v>
      </c>
      <c r="D62" s="6">
        <v>22996</v>
      </c>
      <c r="E62" s="6">
        <v>51865</v>
      </c>
      <c r="F62" s="6">
        <v>12250</v>
      </c>
    </row>
    <row r="63" spans="1:6" x14ac:dyDescent="0.25">
      <c r="A63" t="s">
        <v>90</v>
      </c>
      <c r="B63" s="6">
        <v>244314</v>
      </c>
      <c r="C63" s="6">
        <v>14563</v>
      </c>
      <c r="D63" s="6">
        <v>21062</v>
      </c>
      <c r="E63" s="6">
        <v>32090</v>
      </c>
      <c r="F63" s="6">
        <v>23130</v>
      </c>
    </row>
    <row r="64" spans="1:6" x14ac:dyDescent="0.25">
      <c r="A64" t="s">
        <v>91</v>
      </c>
      <c r="B64" s="6">
        <v>295041</v>
      </c>
      <c r="C64" s="6">
        <v>32366</v>
      </c>
      <c r="D64" s="6">
        <v>39345</v>
      </c>
      <c r="E64" s="6">
        <v>24988</v>
      </c>
      <c r="F64" s="6">
        <v>11428</v>
      </c>
    </row>
    <row r="65" spans="1:6" x14ac:dyDescent="0.25">
      <c r="A65" t="s">
        <v>92</v>
      </c>
      <c r="B65" s="6">
        <v>136472</v>
      </c>
      <c r="C65" s="6">
        <v>20074</v>
      </c>
      <c r="D65" s="6">
        <v>44893</v>
      </c>
      <c r="E65" s="6">
        <v>52341</v>
      </c>
      <c r="F65" s="6">
        <v>13052</v>
      </c>
    </row>
    <row r="66" spans="1:6" x14ac:dyDescent="0.25">
      <c r="A66" t="s">
        <v>93</v>
      </c>
      <c r="B66" s="6">
        <v>180888</v>
      </c>
      <c r="C66" s="6">
        <v>27122</v>
      </c>
      <c r="D66" s="6">
        <v>36864</v>
      </c>
      <c r="E66" s="6">
        <v>47022</v>
      </c>
      <c r="F66" s="6">
        <v>28709</v>
      </c>
    </row>
    <row r="67" spans="1:6" x14ac:dyDescent="0.25">
      <c r="A67" t="s">
        <v>94</v>
      </c>
      <c r="B67" s="6">
        <v>218216</v>
      </c>
      <c r="C67" s="6">
        <v>37151</v>
      </c>
      <c r="D67" s="6">
        <v>50200</v>
      </c>
      <c r="E67" s="6">
        <v>26025</v>
      </c>
      <c r="F67" s="6">
        <v>29011</v>
      </c>
    </row>
    <row r="68" spans="1:6" x14ac:dyDescent="0.25">
      <c r="A68" t="s">
        <v>95</v>
      </c>
      <c r="B68" s="6">
        <v>258398</v>
      </c>
      <c r="C68" s="6">
        <v>28080</v>
      </c>
      <c r="D68" s="6">
        <v>31092</v>
      </c>
      <c r="E68" s="6">
        <v>24172</v>
      </c>
      <c r="F68" s="6">
        <v>28603</v>
      </c>
    </row>
    <row r="69" spans="1:6" x14ac:dyDescent="0.25">
      <c r="A69" t="s">
        <v>96</v>
      </c>
      <c r="B69" s="6">
        <v>193273</v>
      </c>
      <c r="C69" s="6">
        <v>37002</v>
      </c>
      <c r="D69" s="6">
        <v>32061</v>
      </c>
      <c r="E69" s="6">
        <v>50529</v>
      </c>
      <c r="F69" s="6">
        <v>26030</v>
      </c>
    </row>
    <row r="70" spans="1:6" x14ac:dyDescent="0.25">
      <c r="A70" t="s">
        <v>97</v>
      </c>
      <c r="B70" s="6">
        <v>65396</v>
      </c>
      <c r="C70" s="6">
        <v>39337</v>
      </c>
      <c r="D70" s="6">
        <v>22216</v>
      </c>
      <c r="E70" s="6">
        <v>19871</v>
      </c>
      <c r="F70" s="6">
        <v>26896</v>
      </c>
    </row>
    <row r="71" spans="1:6" x14ac:dyDescent="0.25">
      <c r="A71" t="s">
        <v>98</v>
      </c>
      <c r="B71" s="6">
        <v>62717</v>
      </c>
      <c r="C71" s="6">
        <v>5418</v>
      </c>
      <c r="D71" s="6">
        <v>47026</v>
      </c>
      <c r="E71" s="6">
        <v>24010</v>
      </c>
      <c r="F71" s="6">
        <v>25666</v>
      </c>
    </row>
    <row r="72" spans="1:6" x14ac:dyDescent="0.25">
      <c r="A72" t="s">
        <v>99</v>
      </c>
      <c r="B72" s="6">
        <v>110668</v>
      </c>
      <c r="C72" s="6">
        <v>9454</v>
      </c>
      <c r="D72" s="6">
        <v>66345</v>
      </c>
      <c r="E72" s="6">
        <v>24897</v>
      </c>
      <c r="F72" s="6">
        <v>5299</v>
      </c>
    </row>
    <row r="73" spans="1:6" x14ac:dyDescent="0.25">
      <c r="A73" t="s">
        <v>100</v>
      </c>
      <c r="B73" s="6">
        <v>107336</v>
      </c>
      <c r="C73" s="6">
        <v>38143</v>
      </c>
      <c r="D73" s="6">
        <v>49885</v>
      </c>
      <c r="E73" s="6">
        <v>39458</v>
      </c>
      <c r="F73" s="6">
        <v>6980</v>
      </c>
    </row>
    <row r="74" spans="1:6" x14ac:dyDescent="0.25">
      <c r="A74" t="s">
        <v>101</v>
      </c>
      <c r="B74" s="6">
        <v>211961</v>
      </c>
      <c r="C74" s="6">
        <v>36667</v>
      </c>
      <c r="D74" s="6">
        <v>63206</v>
      </c>
      <c r="E74" s="6">
        <v>46972</v>
      </c>
      <c r="F74" s="6">
        <v>5515</v>
      </c>
    </row>
    <row r="75" spans="1:6" x14ac:dyDescent="0.25">
      <c r="A75" t="s">
        <v>102</v>
      </c>
      <c r="B75" s="6">
        <v>51733</v>
      </c>
      <c r="C75" s="6">
        <v>39879</v>
      </c>
      <c r="D75" s="6">
        <v>56152</v>
      </c>
      <c r="E75" s="6">
        <v>41957</v>
      </c>
      <c r="F75" s="6">
        <v>5388</v>
      </c>
    </row>
    <row r="76" spans="1:6" x14ac:dyDescent="0.25">
      <c r="A76" t="s">
        <v>103</v>
      </c>
      <c r="B76" s="6">
        <v>54384</v>
      </c>
      <c r="C76" s="6">
        <v>39695</v>
      </c>
      <c r="D76" s="6">
        <v>67329</v>
      </c>
      <c r="E76" s="6">
        <v>33005</v>
      </c>
      <c r="F76" s="6">
        <v>22555</v>
      </c>
    </row>
    <row r="77" spans="1:6" x14ac:dyDescent="0.25">
      <c r="A77" t="s">
        <v>104</v>
      </c>
      <c r="B77" s="6">
        <v>125153</v>
      </c>
      <c r="C77" s="6">
        <v>6123</v>
      </c>
      <c r="D77" s="6">
        <v>52913</v>
      </c>
      <c r="E77" s="6">
        <v>59173</v>
      </c>
      <c r="F77" s="6">
        <v>19109</v>
      </c>
    </row>
    <row r="78" spans="1:6" x14ac:dyDescent="0.25">
      <c r="A78" t="s">
        <v>105</v>
      </c>
      <c r="B78" s="6">
        <v>261332</v>
      </c>
      <c r="C78" s="6">
        <v>16748</v>
      </c>
      <c r="D78" s="6">
        <v>27013</v>
      </c>
      <c r="E78" s="6">
        <v>21312</v>
      </c>
      <c r="F78" s="6">
        <v>22183</v>
      </c>
    </row>
    <row r="79" spans="1:6" x14ac:dyDescent="0.25">
      <c r="A79" t="s">
        <v>106</v>
      </c>
      <c r="B79" s="6">
        <v>89032</v>
      </c>
      <c r="C79" s="6">
        <v>20792</v>
      </c>
      <c r="D79" s="6">
        <v>32578</v>
      </c>
      <c r="E79" s="6">
        <v>55617</v>
      </c>
      <c r="F79" s="6">
        <v>22250</v>
      </c>
    </row>
    <row r="80" spans="1:6" x14ac:dyDescent="0.25">
      <c r="A80" t="s">
        <v>107</v>
      </c>
      <c r="B80" s="6">
        <v>116169</v>
      </c>
      <c r="C80" s="6">
        <v>28228</v>
      </c>
      <c r="D80" s="6">
        <v>37519</v>
      </c>
      <c r="E80" s="6">
        <v>41011</v>
      </c>
      <c r="F80" s="6">
        <v>7589</v>
      </c>
    </row>
    <row r="81" spans="1:6" x14ac:dyDescent="0.25">
      <c r="A81" t="s">
        <v>108</v>
      </c>
      <c r="B81" s="6">
        <v>147793</v>
      </c>
      <c r="C81" s="6">
        <v>31609</v>
      </c>
      <c r="D81" s="6">
        <v>50080</v>
      </c>
      <c r="E81" s="6">
        <v>52027</v>
      </c>
      <c r="F81" s="6">
        <v>12969</v>
      </c>
    </row>
    <row r="82" spans="1:6" x14ac:dyDescent="0.25">
      <c r="A82" t="s">
        <v>109</v>
      </c>
      <c r="B82" s="6">
        <v>232776</v>
      </c>
      <c r="C82" s="6">
        <v>19801</v>
      </c>
      <c r="D82" s="6">
        <v>39659</v>
      </c>
      <c r="E82" s="6">
        <v>59829</v>
      </c>
      <c r="F82" s="6">
        <v>7641</v>
      </c>
    </row>
    <row r="83" spans="1:6" x14ac:dyDescent="0.25">
      <c r="A83" t="s">
        <v>110</v>
      </c>
      <c r="B83" s="6">
        <v>221372</v>
      </c>
      <c r="C83" s="6">
        <v>7076</v>
      </c>
      <c r="D83" s="6">
        <v>26127</v>
      </c>
      <c r="E83" s="6">
        <v>41560</v>
      </c>
      <c r="F83" s="6">
        <v>17427</v>
      </c>
    </row>
    <row r="84" spans="1:6" x14ac:dyDescent="0.25">
      <c r="A84" t="s">
        <v>111</v>
      </c>
      <c r="B84" s="6">
        <v>148872</v>
      </c>
      <c r="C84" s="6">
        <v>36195</v>
      </c>
      <c r="D84" s="6">
        <v>23677</v>
      </c>
      <c r="E84" s="6">
        <v>56729</v>
      </c>
      <c r="F84" s="6">
        <v>5309</v>
      </c>
    </row>
    <row r="85" spans="1:6" x14ac:dyDescent="0.25">
      <c r="A85" t="s">
        <v>112</v>
      </c>
      <c r="B85" s="6">
        <v>234246</v>
      </c>
      <c r="C85" s="6">
        <v>16231</v>
      </c>
      <c r="D85" s="6">
        <v>25418</v>
      </c>
      <c r="E85" s="6">
        <v>47758</v>
      </c>
      <c r="F85" s="6">
        <v>19218</v>
      </c>
    </row>
    <row r="86" spans="1:6" x14ac:dyDescent="0.25">
      <c r="A86" t="s">
        <v>113</v>
      </c>
      <c r="B86" s="6">
        <v>219058</v>
      </c>
      <c r="C86" s="6">
        <v>26710</v>
      </c>
      <c r="D86" s="6">
        <v>57083</v>
      </c>
      <c r="E86" s="6">
        <v>21249</v>
      </c>
      <c r="F86" s="6">
        <v>22306</v>
      </c>
    </row>
    <row r="87" spans="1:6" x14ac:dyDescent="0.25">
      <c r="A87" t="s">
        <v>114</v>
      </c>
      <c r="B87" s="6">
        <v>290950</v>
      </c>
      <c r="C87" s="6">
        <v>7788</v>
      </c>
      <c r="D87" s="6">
        <v>35057</v>
      </c>
      <c r="E87" s="6">
        <v>28855</v>
      </c>
      <c r="F87" s="6">
        <v>27684</v>
      </c>
    </row>
    <row r="88" spans="1:6" x14ac:dyDescent="0.25">
      <c r="A88" t="s">
        <v>115</v>
      </c>
      <c r="B88" s="6">
        <v>282667</v>
      </c>
      <c r="C88" s="6">
        <v>36162</v>
      </c>
      <c r="D88" s="6">
        <v>37766</v>
      </c>
      <c r="E88" s="6">
        <v>18051</v>
      </c>
      <c r="F88" s="6">
        <v>7436</v>
      </c>
    </row>
    <row r="89" spans="1:6" x14ac:dyDescent="0.25">
      <c r="A89" t="s">
        <v>116</v>
      </c>
      <c r="B89" s="6">
        <v>229418</v>
      </c>
      <c r="C89" s="6">
        <v>23374</v>
      </c>
      <c r="D89" s="6">
        <v>78937</v>
      </c>
      <c r="E89" s="6">
        <v>50588</v>
      </c>
      <c r="F89" s="6">
        <v>23465</v>
      </c>
    </row>
    <row r="90" spans="1:6" x14ac:dyDescent="0.25">
      <c r="A90" t="s">
        <v>117</v>
      </c>
      <c r="B90" s="6">
        <v>222519</v>
      </c>
      <c r="C90" s="6">
        <v>7156</v>
      </c>
      <c r="D90" s="6">
        <v>31754</v>
      </c>
      <c r="E90" s="6">
        <v>35610</v>
      </c>
      <c r="F90" s="6">
        <v>5513</v>
      </c>
    </row>
    <row r="91" spans="1:6" x14ac:dyDescent="0.25">
      <c r="A91" t="s">
        <v>118</v>
      </c>
      <c r="B91" s="6">
        <v>104305</v>
      </c>
      <c r="C91" s="6">
        <v>14449</v>
      </c>
      <c r="D91" s="6">
        <v>69299</v>
      </c>
      <c r="E91" s="6">
        <v>41102</v>
      </c>
      <c r="F91" s="6">
        <v>7521</v>
      </c>
    </row>
    <row r="92" spans="1:6" x14ac:dyDescent="0.25">
      <c r="A92" t="s">
        <v>119</v>
      </c>
      <c r="B92" s="6">
        <v>128453</v>
      </c>
      <c r="C92" s="6">
        <v>15646</v>
      </c>
      <c r="D92" s="6">
        <v>56959</v>
      </c>
      <c r="E92" s="6">
        <v>30759</v>
      </c>
      <c r="F92" s="6">
        <v>23569</v>
      </c>
    </row>
    <row r="93" spans="1:6" x14ac:dyDescent="0.25">
      <c r="A93" t="s">
        <v>120</v>
      </c>
      <c r="B93" s="6">
        <v>268798</v>
      </c>
      <c r="C93" s="6">
        <v>30503</v>
      </c>
      <c r="D93" s="6">
        <v>64370</v>
      </c>
      <c r="E93" s="6">
        <v>50426</v>
      </c>
      <c r="F93" s="6">
        <v>15870</v>
      </c>
    </row>
    <row r="94" spans="1:6" x14ac:dyDescent="0.25">
      <c r="A94" t="s">
        <v>121</v>
      </c>
      <c r="B94" s="6">
        <v>150622</v>
      </c>
      <c r="C94" s="6">
        <v>14171</v>
      </c>
      <c r="D94" s="6">
        <v>71806</v>
      </c>
      <c r="E94" s="6">
        <v>20139</v>
      </c>
      <c r="F94" s="6">
        <v>21409</v>
      </c>
    </row>
    <row r="95" spans="1:6" x14ac:dyDescent="0.25">
      <c r="A95" t="s">
        <v>122</v>
      </c>
      <c r="B95" s="6">
        <v>245416</v>
      </c>
      <c r="C95" s="6">
        <v>27666</v>
      </c>
      <c r="D95" s="6">
        <v>23519</v>
      </c>
      <c r="E95" s="6">
        <v>21401</v>
      </c>
      <c r="F95" s="6">
        <v>19322</v>
      </c>
    </row>
    <row r="96" spans="1:6" x14ac:dyDescent="0.25">
      <c r="A96" t="s">
        <v>123</v>
      </c>
      <c r="B96" s="6">
        <v>110855</v>
      </c>
      <c r="C96" s="6">
        <v>9981</v>
      </c>
      <c r="D96" s="6">
        <v>42321</v>
      </c>
      <c r="E96" s="6">
        <v>54660</v>
      </c>
      <c r="F96" s="6">
        <v>25115</v>
      </c>
    </row>
    <row r="97" spans="1:6" x14ac:dyDescent="0.25">
      <c r="A97" t="s">
        <v>124</v>
      </c>
      <c r="B97" s="6">
        <v>206135</v>
      </c>
      <c r="C97" s="6">
        <v>30998</v>
      </c>
      <c r="D97" s="6">
        <v>70695</v>
      </c>
      <c r="E97" s="6">
        <v>36389</v>
      </c>
      <c r="F97" s="6">
        <v>5970</v>
      </c>
    </row>
    <row r="98" spans="1:6" x14ac:dyDescent="0.25">
      <c r="A98" t="s">
        <v>125</v>
      </c>
      <c r="B98" s="6">
        <v>216231</v>
      </c>
      <c r="C98" s="6">
        <v>22912</v>
      </c>
      <c r="D98" s="6">
        <v>71350</v>
      </c>
      <c r="E98" s="6">
        <v>44527</v>
      </c>
      <c r="F98" s="6">
        <v>21076</v>
      </c>
    </row>
    <row r="99" spans="1:6" x14ac:dyDescent="0.25">
      <c r="A99" t="s">
        <v>126</v>
      </c>
      <c r="B99" s="6">
        <v>109805</v>
      </c>
      <c r="C99" s="6">
        <v>28318</v>
      </c>
      <c r="D99" s="6">
        <v>56243</v>
      </c>
      <c r="E99" s="6">
        <v>39603</v>
      </c>
      <c r="F99" s="6">
        <v>19150</v>
      </c>
    </row>
    <row r="100" spans="1:6" x14ac:dyDescent="0.25">
      <c r="A100" t="s">
        <v>127</v>
      </c>
      <c r="B100" s="6">
        <v>98690</v>
      </c>
      <c r="C100" s="6">
        <v>29908</v>
      </c>
      <c r="D100" s="6">
        <v>25616</v>
      </c>
      <c r="E100" s="6">
        <v>55541</v>
      </c>
      <c r="F100" s="6">
        <v>14678</v>
      </c>
    </row>
    <row r="101" spans="1:6" x14ac:dyDescent="0.25">
      <c r="A101" t="s">
        <v>128</v>
      </c>
      <c r="B101" s="6">
        <v>259205</v>
      </c>
      <c r="C101" s="6">
        <v>21151</v>
      </c>
      <c r="D101" s="6">
        <v>66734</v>
      </c>
      <c r="E101" s="6">
        <v>19817</v>
      </c>
      <c r="F101" s="6">
        <v>7688</v>
      </c>
    </row>
    <row r="102" spans="1:6" x14ac:dyDescent="0.25">
      <c r="A102" t="s">
        <v>129</v>
      </c>
      <c r="B102" s="6">
        <v>120247</v>
      </c>
      <c r="C102" s="6">
        <v>15107</v>
      </c>
      <c r="D102" s="6">
        <v>44903</v>
      </c>
      <c r="E102" s="6">
        <v>56543</v>
      </c>
      <c r="F102" s="6">
        <v>10055</v>
      </c>
    </row>
    <row r="103" spans="1:6" x14ac:dyDescent="0.25">
      <c r="A103" t="s">
        <v>130</v>
      </c>
      <c r="B103" s="6">
        <v>243896</v>
      </c>
      <c r="C103" s="6">
        <v>30534</v>
      </c>
      <c r="D103" s="6">
        <v>40753</v>
      </c>
      <c r="E103" s="6">
        <v>38638</v>
      </c>
      <c r="F103" s="6">
        <v>8491</v>
      </c>
    </row>
    <row r="104" spans="1:6" x14ac:dyDescent="0.25">
      <c r="A104" t="s">
        <v>131</v>
      </c>
      <c r="B104" s="6">
        <v>73991</v>
      </c>
      <c r="C104" s="6">
        <v>5340</v>
      </c>
      <c r="D104" s="6">
        <v>40202</v>
      </c>
      <c r="E104" s="6">
        <v>44146</v>
      </c>
      <c r="F104" s="6">
        <v>16793</v>
      </c>
    </row>
    <row r="105" spans="1:6" x14ac:dyDescent="0.25">
      <c r="A105" t="s">
        <v>132</v>
      </c>
      <c r="B105" s="6">
        <v>249582</v>
      </c>
      <c r="C105" s="6">
        <v>22679</v>
      </c>
      <c r="D105" s="6">
        <v>26699</v>
      </c>
      <c r="E105" s="6">
        <v>23683</v>
      </c>
      <c r="F105" s="6">
        <v>7860</v>
      </c>
    </row>
    <row r="106" spans="1:6" x14ac:dyDescent="0.25">
      <c r="A106" t="s">
        <v>133</v>
      </c>
      <c r="B106" s="6">
        <v>99123</v>
      </c>
      <c r="C106" s="6">
        <v>33244</v>
      </c>
      <c r="D106" s="6">
        <v>49415</v>
      </c>
      <c r="E106" s="6">
        <v>51502</v>
      </c>
      <c r="F106" s="6">
        <v>23177</v>
      </c>
    </row>
    <row r="107" spans="1:6" x14ac:dyDescent="0.25">
      <c r="A107" t="s">
        <v>134</v>
      </c>
      <c r="B107" s="6">
        <v>184333</v>
      </c>
      <c r="C107" s="6">
        <v>31741</v>
      </c>
      <c r="D107" s="6">
        <v>26769</v>
      </c>
      <c r="E107" s="6">
        <v>16721</v>
      </c>
      <c r="F107" s="6">
        <v>7936</v>
      </c>
    </row>
    <row r="108" spans="1:6" x14ac:dyDescent="0.25">
      <c r="A108" t="s">
        <v>135</v>
      </c>
      <c r="B108" s="6">
        <v>142776</v>
      </c>
      <c r="C108" s="6">
        <v>11099</v>
      </c>
      <c r="D108" s="6">
        <v>59120</v>
      </c>
      <c r="E108" s="6">
        <v>54193</v>
      </c>
      <c r="F108" s="6">
        <v>15630</v>
      </c>
    </row>
    <row r="109" spans="1:6" x14ac:dyDescent="0.25">
      <c r="A109" t="s">
        <v>136</v>
      </c>
      <c r="B109" s="6">
        <v>276418</v>
      </c>
      <c r="C109" s="6">
        <v>30246</v>
      </c>
      <c r="D109" s="6">
        <v>20808</v>
      </c>
      <c r="E109" s="6">
        <v>34126</v>
      </c>
      <c r="F109" s="6">
        <v>18559</v>
      </c>
    </row>
    <row r="110" spans="1:6" x14ac:dyDescent="0.25">
      <c r="A110" t="s">
        <v>137</v>
      </c>
      <c r="B110" s="6">
        <v>151659</v>
      </c>
      <c r="C110" s="6">
        <v>10550</v>
      </c>
      <c r="D110" s="6">
        <v>67503</v>
      </c>
      <c r="E110" s="6">
        <v>51669</v>
      </c>
      <c r="F110" s="6">
        <v>12954</v>
      </c>
    </row>
    <row r="111" spans="1:6" x14ac:dyDescent="0.25">
      <c r="A111" t="s">
        <v>138</v>
      </c>
      <c r="B111" s="6">
        <v>199935</v>
      </c>
      <c r="C111" s="6">
        <v>39151</v>
      </c>
      <c r="D111" s="6">
        <v>31113</v>
      </c>
      <c r="E111" s="6">
        <v>59912</v>
      </c>
      <c r="F111" s="6">
        <v>17475</v>
      </c>
    </row>
    <row r="112" spans="1:6" x14ac:dyDescent="0.25">
      <c r="A112" t="s">
        <v>139</v>
      </c>
      <c r="B112" s="6">
        <v>94433</v>
      </c>
      <c r="C112" s="6">
        <v>14099</v>
      </c>
      <c r="D112" s="6">
        <v>37623</v>
      </c>
      <c r="E112" s="6">
        <v>34734</v>
      </c>
      <c r="F112" s="6">
        <v>13795</v>
      </c>
    </row>
    <row r="113" spans="1:6" x14ac:dyDescent="0.25">
      <c r="A113" t="s">
        <v>140</v>
      </c>
      <c r="B113" s="6">
        <v>179269</v>
      </c>
      <c r="C113" s="6">
        <v>14563</v>
      </c>
      <c r="D113" s="6">
        <v>24146</v>
      </c>
      <c r="E113" s="6">
        <v>25958</v>
      </c>
      <c r="F113" s="6">
        <v>19243</v>
      </c>
    </row>
    <row r="114" spans="1:6" x14ac:dyDescent="0.25">
      <c r="A114" t="s">
        <v>141</v>
      </c>
      <c r="B114" s="6">
        <v>122341</v>
      </c>
      <c r="C114" s="6">
        <v>32597</v>
      </c>
      <c r="D114" s="6">
        <v>39644</v>
      </c>
      <c r="E114" s="6">
        <v>46734</v>
      </c>
      <c r="F114" s="6">
        <v>7520</v>
      </c>
    </row>
    <row r="115" spans="1:6" x14ac:dyDescent="0.25">
      <c r="A115" t="s">
        <v>142</v>
      </c>
      <c r="B115" s="6">
        <v>144666</v>
      </c>
      <c r="C115" s="6">
        <v>21495</v>
      </c>
      <c r="D115" s="6">
        <v>36160</v>
      </c>
      <c r="E115" s="6">
        <v>55962</v>
      </c>
      <c r="F115" s="6">
        <v>21246</v>
      </c>
    </row>
    <row r="116" spans="1:6" x14ac:dyDescent="0.25">
      <c r="A116" t="s">
        <v>143</v>
      </c>
      <c r="B116" s="6">
        <v>205662</v>
      </c>
      <c r="C116" s="6">
        <v>17815</v>
      </c>
      <c r="D116" s="6">
        <v>50006</v>
      </c>
      <c r="E116" s="6">
        <v>22010</v>
      </c>
      <c r="F116" s="6">
        <v>9439</v>
      </c>
    </row>
    <row r="117" spans="1:6" x14ac:dyDescent="0.25">
      <c r="A117" t="s">
        <v>144</v>
      </c>
      <c r="B117" s="6">
        <v>129864</v>
      </c>
      <c r="C117" s="6">
        <v>5443</v>
      </c>
      <c r="D117" s="6">
        <v>45932</v>
      </c>
      <c r="E117" s="6">
        <v>36772</v>
      </c>
      <c r="F117" s="6">
        <v>25322</v>
      </c>
    </row>
    <row r="118" spans="1:6" x14ac:dyDescent="0.25">
      <c r="A118" t="s">
        <v>145</v>
      </c>
      <c r="B118" s="6">
        <v>149585</v>
      </c>
      <c r="C118" s="6">
        <v>26596</v>
      </c>
      <c r="D118" s="6">
        <v>48850</v>
      </c>
      <c r="E118" s="6">
        <v>36937</v>
      </c>
      <c r="F118" s="6">
        <v>19110</v>
      </c>
    </row>
    <row r="119" spans="1:6" x14ac:dyDescent="0.25">
      <c r="A119" t="s">
        <v>146</v>
      </c>
      <c r="B119" s="6">
        <v>263772</v>
      </c>
      <c r="C119" s="6">
        <v>13921</v>
      </c>
      <c r="D119" s="6">
        <v>39689</v>
      </c>
      <c r="E119" s="6">
        <v>36015</v>
      </c>
      <c r="F119" s="6">
        <v>24766</v>
      </c>
    </row>
    <row r="120" spans="1:6" x14ac:dyDescent="0.25">
      <c r="A120" t="s">
        <v>147</v>
      </c>
      <c r="B120" s="6">
        <v>298323</v>
      </c>
      <c r="C120" s="6">
        <v>18163</v>
      </c>
      <c r="D120" s="6">
        <v>51392</v>
      </c>
      <c r="E120" s="6">
        <v>35590</v>
      </c>
      <c r="F120" s="6">
        <v>10820</v>
      </c>
    </row>
    <row r="121" spans="1:6" x14ac:dyDescent="0.25">
      <c r="A121" t="s">
        <v>148</v>
      </c>
      <c r="B121" s="6">
        <v>154396</v>
      </c>
      <c r="C121" s="6">
        <v>25915</v>
      </c>
      <c r="D121" s="6">
        <v>39100</v>
      </c>
      <c r="E121" s="6">
        <v>56477</v>
      </c>
      <c r="F121" s="6">
        <v>21089</v>
      </c>
    </row>
    <row r="122" spans="1:6" x14ac:dyDescent="0.25">
      <c r="A122" t="s">
        <v>149</v>
      </c>
      <c r="B122" s="6">
        <v>200963</v>
      </c>
      <c r="C122" s="6">
        <v>20887</v>
      </c>
      <c r="D122" s="6">
        <v>41357</v>
      </c>
      <c r="E122" s="6">
        <v>39645</v>
      </c>
      <c r="F122" s="6">
        <v>14184</v>
      </c>
    </row>
    <row r="123" spans="1:6" x14ac:dyDescent="0.25">
      <c r="A123" t="s">
        <v>150</v>
      </c>
      <c r="B123" s="6">
        <v>264039</v>
      </c>
      <c r="C123" s="6">
        <v>30751</v>
      </c>
      <c r="D123" s="6">
        <v>43921</v>
      </c>
      <c r="E123" s="6">
        <v>22463</v>
      </c>
      <c r="F123" s="6">
        <v>23476</v>
      </c>
    </row>
    <row r="124" spans="1:6" x14ac:dyDescent="0.25">
      <c r="A124" t="s">
        <v>151</v>
      </c>
      <c r="B124" s="6">
        <v>102376</v>
      </c>
      <c r="C124" s="6">
        <v>16791</v>
      </c>
      <c r="D124" s="6">
        <v>64676</v>
      </c>
      <c r="E124" s="6">
        <v>51051</v>
      </c>
      <c r="F124" s="6">
        <v>5881</v>
      </c>
    </row>
    <row r="125" spans="1:6" x14ac:dyDescent="0.25">
      <c r="A125" t="s">
        <v>152</v>
      </c>
      <c r="B125" s="6">
        <v>299824</v>
      </c>
      <c r="C125" s="6">
        <v>35252</v>
      </c>
      <c r="D125" s="6">
        <v>66423</v>
      </c>
      <c r="E125" s="6">
        <v>28739</v>
      </c>
      <c r="F125" s="6">
        <v>19367</v>
      </c>
    </row>
    <row r="126" spans="1:6" x14ac:dyDescent="0.25">
      <c r="A126" t="s">
        <v>153</v>
      </c>
      <c r="B126" s="6">
        <v>259108</v>
      </c>
      <c r="C126" s="6">
        <v>24092</v>
      </c>
      <c r="D126" s="6">
        <v>74478</v>
      </c>
      <c r="E126" s="6">
        <v>19532</v>
      </c>
      <c r="F126" s="6">
        <v>18406</v>
      </c>
    </row>
    <row r="127" spans="1:6" x14ac:dyDescent="0.25">
      <c r="A127" t="s">
        <v>154</v>
      </c>
      <c r="B127" s="6">
        <v>226417</v>
      </c>
      <c r="C127" s="6">
        <v>37722</v>
      </c>
      <c r="D127" s="6">
        <v>29121</v>
      </c>
      <c r="E127" s="6">
        <v>56506</v>
      </c>
      <c r="F127" s="6">
        <v>14923</v>
      </c>
    </row>
    <row r="128" spans="1:6" x14ac:dyDescent="0.25">
      <c r="A128" t="s">
        <v>155</v>
      </c>
      <c r="B128" s="6">
        <v>113444</v>
      </c>
      <c r="C128" s="6">
        <v>21559</v>
      </c>
      <c r="D128" s="6">
        <v>63166</v>
      </c>
      <c r="E128" s="6">
        <v>25101</v>
      </c>
      <c r="F128" s="6">
        <v>28436</v>
      </c>
    </row>
    <row r="129" spans="1:6" x14ac:dyDescent="0.25">
      <c r="A129" t="s">
        <v>156</v>
      </c>
      <c r="B129" s="6">
        <v>160920</v>
      </c>
      <c r="C129" s="6">
        <v>29706</v>
      </c>
      <c r="D129" s="6">
        <v>24847</v>
      </c>
      <c r="E129" s="6">
        <v>44430</v>
      </c>
      <c r="F129" s="6">
        <v>24593</v>
      </c>
    </row>
    <row r="130" spans="1:6" x14ac:dyDescent="0.25">
      <c r="A130" t="s">
        <v>157</v>
      </c>
      <c r="B130" s="6">
        <v>175628</v>
      </c>
      <c r="C130" s="6">
        <v>31267</v>
      </c>
      <c r="D130" s="6">
        <v>55020</v>
      </c>
      <c r="E130" s="6">
        <v>48201</v>
      </c>
      <c r="F130" s="6">
        <v>27665</v>
      </c>
    </row>
    <row r="131" spans="1:6" x14ac:dyDescent="0.25">
      <c r="A131" t="s">
        <v>158</v>
      </c>
      <c r="B131" s="6">
        <v>159655</v>
      </c>
      <c r="C131" s="6">
        <v>7409</v>
      </c>
      <c r="D131" s="6">
        <v>71820</v>
      </c>
      <c r="E131" s="6">
        <v>38562</v>
      </c>
      <c r="F131" s="6">
        <v>27991</v>
      </c>
    </row>
    <row r="132" spans="1:6" x14ac:dyDescent="0.25">
      <c r="A132" t="s">
        <v>159</v>
      </c>
      <c r="B132" s="6">
        <v>284750</v>
      </c>
      <c r="C132" s="6">
        <v>10569</v>
      </c>
      <c r="D132" s="6">
        <v>27167</v>
      </c>
      <c r="E132" s="6">
        <v>31268</v>
      </c>
      <c r="F132" s="6">
        <v>26548</v>
      </c>
    </row>
    <row r="133" spans="1:6" x14ac:dyDescent="0.25">
      <c r="A133" t="s">
        <v>160</v>
      </c>
      <c r="B133" s="6">
        <v>224245</v>
      </c>
      <c r="C133" s="6">
        <v>28265</v>
      </c>
      <c r="D133" s="6">
        <v>30901</v>
      </c>
      <c r="E133" s="6">
        <v>57401</v>
      </c>
      <c r="F133" s="6">
        <v>25076</v>
      </c>
    </row>
    <row r="134" spans="1:6" x14ac:dyDescent="0.25">
      <c r="A134" t="s">
        <v>161</v>
      </c>
      <c r="B134" s="6">
        <v>61612</v>
      </c>
      <c r="C134" s="6">
        <v>31189</v>
      </c>
      <c r="D134" s="6">
        <v>69327</v>
      </c>
      <c r="E134" s="6">
        <v>36731</v>
      </c>
      <c r="F134" s="6">
        <v>19105</v>
      </c>
    </row>
    <row r="135" spans="1:6" x14ac:dyDescent="0.25">
      <c r="A135" t="s">
        <v>162</v>
      </c>
      <c r="B135" s="6">
        <v>77772</v>
      </c>
      <c r="C135" s="6">
        <v>5691</v>
      </c>
      <c r="D135" s="6">
        <v>26462</v>
      </c>
      <c r="E135" s="6">
        <v>31956</v>
      </c>
      <c r="F135" s="6">
        <v>12274</v>
      </c>
    </row>
    <row r="136" spans="1:6" x14ac:dyDescent="0.25">
      <c r="A136" t="s">
        <v>163</v>
      </c>
      <c r="B136" s="6">
        <v>183870</v>
      </c>
      <c r="C136" s="6">
        <v>38999</v>
      </c>
      <c r="D136" s="6">
        <v>56568</v>
      </c>
      <c r="E136" s="6">
        <v>53044</v>
      </c>
      <c r="F136" s="6">
        <v>27533</v>
      </c>
    </row>
    <row r="137" spans="1:6" x14ac:dyDescent="0.25">
      <c r="A137" t="s">
        <v>164</v>
      </c>
      <c r="B137" s="6">
        <v>200794</v>
      </c>
      <c r="C137" s="6">
        <v>19485</v>
      </c>
      <c r="D137" s="6">
        <v>49214</v>
      </c>
      <c r="E137" s="6">
        <v>39518</v>
      </c>
      <c r="F137" s="6">
        <v>17816</v>
      </c>
    </row>
    <row r="138" spans="1:6" x14ac:dyDescent="0.25">
      <c r="A138" t="s">
        <v>165</v>
      </c>
      <c r="B138" s="6">
        <v>171389</v>
      </c>
      <c r="C138" s="6">
        <v>37798</v>
      </c>
      <c r="D138" s="6">
        <v>29879</v>
      </c>
      <c r="E138" s="6">
        <v>37607</v>
      </c>
      <c r="F138" s="6">
        <v>5804</v>
      </c>
    </row>
    <row r="139" spans="1:6" x14ac:dyDescent="0.25">
      <c r="A139" t="s">
        <v>166</v>
      </c>
      <c r="B139" s="6">
        <v>176555</v>
      </c>
      <c r="C139" s="6">
        <v>11851</v>
      </c>
      <c r="D139" s="6">
        <v>39361</v>
      </c>
      <c r="E139" s="6">
        <v>42261</v>
      </c>
      <c r="F139" s="6">
        <v>7813</v>
      </c>
    </row>
    <row r="140" spans="1:6" x14ac:dyDescent="0.25">
      <c r="A140" t="s">
        <v>167</v>
      </c>
      <c r="B140" s="6">
        <v>80426</v>
      </c>
      <c r="C140" s="6">
        <v>14284</v>
      </c>
      <c r="D140" s="6">
        <v>42828</v>
      </c>
      <c r="E140" s="6">
        <v>35440</v>
      </c>
      <c r="F140" s="6">
        <v>16241</v>
      </c>
    </row>
    <row r="141" spans="1:6" x14ac:dyDescent="0.25">
      <c r="A141" t="s">
        <v>168</v>
      </c>
      <c r="B141" s="6">
        <v>169362</v>
      </c>
      <c r="C141" s="6">
        <v>18557</v>
      </c>
      <c r="D141" s="6">
        <v>54151</v>
      </c>
      <c r="E141" s="6">
        <v>46649</v>
      </c>
      <c r="F141" s="6">
        <v>16413</v>
      </c>
    </row>
    <row r="142" spans="1:6" x14ac:dyDescent="0.25">
      <c r="A142" t="s">
        <v>169</v>
      </c>
      <c r="B142" s="6">
        <v>174823</v>
      </c>
      <c r="C142" s="6">
        <v>11397</v>
      </c>
      <c r="D142" s="6">
        <v>48715</v>
      </c>
      <c r="E142" s="6">
        <v>44651</v>
      </c>
      <c r="F142" s="6">
        <v>15450</v>
      </c>
    </row>
    <row r="143" spans="1:6" x14ac:dyDescent="0.25">
      <c r="A143" t="s">
        <v>170</v>
      </c>
      <c r="B143" s="6">
        <v>67609</v>
      </c>
      <c r="C143" s="6">
        <v>24678</v>
      </c>
      <c r="D143" s="6">
        <v>22928</v>
      </c>
      <c r="E143" s="6">
        <v>22542</v>
      </c>
      <c r="F143" s="6">
        <v>5740</v>
      </c>
    </row>
    <row r="144" spans="1:6" x14ac:dyDescent="0.25">
      <c r="A144" t="s">
        <v>171</v>
      </c>
      <c r="B144" s="6">
        <v>272607</v>
      </c>
      <c r="C144" s="6">
        <v>27483</v>
      </c>
      <c r="D144" s="6">
        <v>62465</v>
      </c>
      <c r="E144" s="6">
        <v>22167</v>
      </c>
      <c r="F144" s="6">
        <v>27188</v>
      </c>
    </row>
    <row r="145" spans="1:6" x14ac:dyDescent="0.25">
      <c r="A145" t="s">
        <v>172</v>
      </c>
      <c r="B145" s="6">
        <v>259728</v>
      </c>
      <c r="C145" s="6">
        <v>15771</v>
      </c>
      <c r="D145" s="6">
        <v>68528</v>
      </c>
      <c r="E145" s="6">
        <v>30985</v>
      </c>
      <c r="F145" s="6">
        <v>21908</v>
      </c>
    </row>
    <row r="146" spans="1:6" x14ac:dyDescent="0.25">
      <c r="A146" t="s">
        <v>173</v>
      </c>
      <c r="B146" s="6">
        <v>95731</v>
      </c>
      <c r="C146" s="6">
        <v>15494</v>
      </c>
      <c r="D146" s="6">
        <v>41691</v>
      </c>
      <c r="E146" s="6">
        <v>51690</v>
      </c>
      <c r="F146" s="6">
        <v>18971</v>
      </c>
    </row>
    <row r="147" spans="1:6" x14ac:dyDescent="0.25">
      <c r="A147" t="s">
        <v>174</v>
      </c>
      <c r="B147" s="6">
        <v>171124</v>
      </c>
      <c r="C147" s="6">
        <v>20194</v>
      </c>
      <c r="D147" s="6">
        <v>72281</v>
      </c>
      <c r="E147" s="6">
        <v>41545</v>
      </c>
      <c r="F147" s="6">
        <v>25635</v>
      </c>
    </row>
    <row r="148" spans="1:6" x14ac:dyDescent="0.25">
      <c r="A148" t="s">
        <v>175</v>
      </c>
      <c r="B148" s="6">
        <v>98352</v>
      </c>
      <c r="C148" s="6">
        <v>17215</v>
      </c>
      <c r="D148" s="6">
        <v>61974</v>
      </c>
      <c r="E148" s="6">
        <v>58077</v>
      </c>
      <c r="F148" s="6">
        <v>19160</v>
      </c>
    </row>
    <row r="149" spans="1:6" x14ac:dyDescent="0.25">
      <c r="A149" t="s">
        <v>176</v>
      </c>
      <c r="B149" s="6">
        <v>153699</v>
      </c>
      <c r="C149" s="6">
        <v>6913</v>
      </c>
      <c r="D149" s="6">
        <v>68325</v>
      </c>
      <c r="E149" s="6">
        <v>55246</v>
      </c>
      <c r="F149" s="6">
        <v>11465</v>
      </c>
    </row>
    <row r="150" spans="1:6" x14ac:dyDescent="0.25">
      <c r="A150" t="s">
        <v>177</v>
      </c>
      <c r="B150" s="6">
        <v>167853</v>
      </c>
      <c r="C150" s="6">
        <v>33151</v>
      </c>
      <c r="D150" s="6">
        <v>45482</v>
      </c>
      <c r="E150" s="6">
        <v>15291</v>
      </c>
      <c r="F150" s="6">
        <v>28092</v>
      </c>
    </row>
    <row r="151" spans="1:6" x14ac:dyDescent="0.25">
      <c r="A151" t="s">
        <v>178</v>
      </c>
      <c r="B151" s="6">
        <v>106307</v>
      </c>
      <c r="C151" s="6">
        <v>18486</v>
      </c>
      <c r="D151" s="6">
        <v>38241</v>
      </c>
      <c r="E151" s="6">
        <v>19100</v>
      </c>
      <c r="F151" s="6">
        <v>23918</v>
      </c>
    </row>
    <row r="152" spans="1:6" x14ac:dyDescent="0.25">
      <c r="A152" t="s">
        <v>179</v>
      </c>
      <c r="B152" s="6">
        <v>76673</v>
      </c>
      <c r="C152" s="6">
        <v>17252</v>
      </c>
      <c r="D152" s="6">
        <v>43972</v>
      </c>
      <c r="E152" s="6">
        <v>36363</v>
      </c>
      <c r="F152" s="6">
        <v>11457</v>
      </c>
    </row>
    <row r="153" spans="1:6" x14ac:dyDescent="0.25">
      <c r="A153" t="s">
        <v>180</v>
      </c>
      <c r="B153" s="6">
        <v>169944</v>
      </c>
      <c r="C153" s="6">
        <v>12468</v>
      </c>
      <c r="D153" s="6">
        <v>37193</v>
      </c>
      <c r="E153" s="6">
        <v>58955</v>
      </c>
      <c r="F153" s="6">
        <v>21039</v>
      </c>
    </row>
    <row r="154" spans="1:6" x14ac:dyDescent="0.25">
      <c r="A154" t="s">
        <v>181</v>
      </c>
      <c r="B154" s="6">
        <v>188337</v>
      </c>
      <c r="C154" s="6">
        <v>25539</v>
      </c>
      <c r="D154" s="6">
        <v>59123</v>
      </c>
      <c r="E154" s="6">
        <v>40469</v>
      </c>
      <c r="F154" s="6">
        <v>25031</v>
      </c>
    </row>
    <row r="155" spans="1:6" x14ac:dyDescent="0.25">
      <c r="A155" t="s">
        <v>182</v>
      </c>
      <c r="B155" s="6">
        <v>152903</v>
      </c>
      <c r="C155" s="6">
        <v>12486</v>
      </c>
      <c r="D155" s="6">
        <v>42801</v>
      </c>
      <c r="E155" s="6">
        <v>38067</v>
      </c>
      <c r="F155" s="6">
        <v>20003</v>
      </c>
    </row>
    <row r="156" spans="1:6" x14ac:dyDescent="0.25">
      <c r="A156" t="s">
        <v>183</v>
      </c>
      <c r="B156" s="6">
        <v>211837</v>
      </c>
      <c r="C156" s="6">
        <v>16306</v>
      </c>
      <c r="D156" s="6">
        <v>73329</v>
      </c>
      <c r="E156" s="6">
        <v>59144</v>
      </c>
      <c r="F156" s="6">
        <v>28133</v>
      </c>
    </row>
    <row r="157" spans="1:6" x14ac:dyDescent="0.25">
      <c r="A157" t="s">
        <v>184</v>
      </c>
      <c r="B157" s="6">
        <v>259875</v>
      </c>
      <c r="C157" s="6">
        <v>24493</v>
      </c>
      <c r="D157" s="6">
        <v>60270</v>
      </c>
      <c r="E157" s="6">
        <v>53677</v>
      </c>
      <c r="F157" s="6">
        <v>7777</v>
      </c>
    </row>
    <row r="158" spans="1:6" x14ac:dyDescent="0.25">
      <c r="A158" t="s">
        <v>185</v>
      </c>
      <c r="B158" s="6">
        <v>226189</v>
      </c>
      <c r="C158" s="6">
        <v>13778</v>
      </c>
      <c r="D158" s="6">
        <v>40524</v>
      </c>
      <c r="E158" s="6">
        <v>22724</v>
      </c>
      <c r="F158" s="6">
        <v>12817</v>
      </c>
    </row>
    <row r="159" spans="1:6" x14ac:dyDescent="0.25">
      <c r="A159" t="s">
        <v>186</v>
      </c>
      <c r="B159" s="6">
        <v>130053</v>
      </c>
      <c r="C159" s="6">
        <v>12664</v>
      </c>
      <c r="D159" s="6">
        <v>31996</v>
      </c>
      <c r="E159" s="6">
        <v>39464</v>
      </c>
      <c r="F159" s="6">
        <v>27722</v>
      </c>
    </row>
    <row r="160" spans="1:6" x14ac:dyDescent="0.25">
      <c r="A160" t="s">
        <v>187</v>
      </c>
      <c r="B160" s="6">
        <v>87056</v>
      </c>
      <c r="C160" s="6">
        <v>38477</v>
      </c>
      <c r="D160" s="6">
        <v>45458</v>
      </c>
      <c r="E160" s="6">
        <v>42409</v>
      </c>
      <c r="F160" s="6">
        <v>24543</v>
      </c>
    </row>
    <row r="161" spans="1:6" x14ac:dyDescent="0.25">
      <c r="A161" t="s">
        <v>188</v>
      </c>
      <c r="B161" s="6">
        <v>86141</v>
      </c>
      <c r="C161" s="6">
        <v>30146</v>
      </c>
      <c r="D161" s="6">
        <v>47724</v>
      </c>
      <c r="E161" s="6">
        <v>27173</v>
      </c>
      <c r="F161" s="6">
        <v>20947</v>
      </c>
    </row>
    <row r="162" spans="1:6" x14ac:dyDescent="0.25">
      <c r="A162" t="s">
        <v>189</v>
      </c>
      <c r="B162" s="6">
        <v>216592</v>
      </c>
      <c r="C162" s="6">
        <v>16353</v>
      </c>
      <c r="D162" s="6">
        <v>56366</v>
      </c>
      <c r="E162" s="6">
        <v>25935</v>
      </c>
      <c r="F162" s="6">
        <v>21044</v>
      </c>
    </row>
    <row r="163" spans="1:6" x14ac:dyDescent="0.25">
      <c r="A163" t="s">
        <v>190</v>
      </c>
      <c r="B163" s="6">
        <v>125716</v>
      </c>
      <c r="C163" s="6">
        <v>14194</v>
      </c>
      <c r="D163" s="6">
        <v>32261</v>
      </c>
      <c r="E163" s="6">
        <v>35616</v>
      </c>
      <c r="F163" s="6">
        <v>19778</v>
      </c>
    </row>
    <row r="164" spans="1:6" x14ac:dyDescent="0.25">
      <c r="A164" t="s">
        <v>191</v>
      </c>
      <c r="B164" s="6">
        <v>212374</v>
      </c>
      <c r="C164" s="6">
        <v>8513</v>
      </c>
      <c r="D164" s="6">
        <v>76722</v>
      </c>
      <c r="E164" s="6">
        <v>38529</v>
      </c>
      <c r="F164" s="6">
        <v>5314</v>
      </c>
    </row>
    <row r="165" spans="1:6" x14ac:dyDescent="0.25">
      <c r="A165" t="s">
        <v>192</v>
      </c>
      <c r="B165" s="6">
        <v>177037</v>
      </c>
      <c r="C165" s="6">
        <v>13947</v>
      </c>
      <c r="D165" s="6">
        <v>32787</v>
      </c>
      <c r="E165" s="6">
        <v>40162</v>
      </c>
      <c r="F165" s="6">
        <v>23401</v>
      </c>
    </row>
    <row r="166" spans="1:6" x14ac:dyDescent="0.25">
      <c r="A166" t="s">
        <v>193</v>
      </c>
      <c r="B166" s="6">
        <v>182497</v>
      </c>
      <c r="C166" s="6">
        <v>37438</v>
      </c>
      <c r="D166" s="6">
        <v>46813</v>
      </c>
      <c r="E166" s="6">
        <v>59872</v>
      </c>
      <c r="F166" s="6">
        <v>21112</v>
      </c>
    </row>
    <row r="167" spans="1:6" x14ac:dyDescent="0.25">
      <c r="A167" t="s">
        <v>194</v>
      </c>
      <c r="B167" s="6">
        <v>158955</v>
      </c>
      <c r="C167" s="6">
        <v>34088</v>
      </c>
      <c r="D167" s="6">
        <v>52027</v>
      </c>
      <c r="E167" s="6">
        <v>25961</v>
      </c>
      <c r="F167" s="6">
        <v>7708</v>
      </c>
    </row>
    <row r="168" spans="1:6" x14ac:dyDescent="0.25">
      <c r="A168" t="s">
        <v>195</v>
      </c>
      <c r="B168" s="6">
        <v>198215</v>
      </c>
      <c r="C168" s="6">
        <v>7022</v>
      </c>
      <c r="D168" s="6">
        <v>72158</v>
      </c>
      <c r="E168" s="6">
        <v>29452</v>
      </c>
      <c r="F168" s="6">
        <v>14571</v>
      </c>
    </row>
    <row r="169" spans="1:6" x14ac:dyDescent="0.25">
      <c r="A169" t="s">
        <v>196</v>
      </c>
      <c r="B169" s="6">
        <v>58570</v>
      </c>
      <c r="C169" s="6">
        <v>23012</v>
      </c>
      <c r="D169" s="6">
        <v>34735</v>
      </c>
      <c r="E169" s="6">
        <v>50232</v>
      </c>
      <c r="F169" s="6">
        <v>14459</v>
      </c>
    </row>
    <row r="170" spans="1:6" x14ac:dyDescent="0.25">
      <c r="A170" t="s">
        <v>197</v>
      </c>
      <c r="B170" s="6">
        <v>94094</v>
      </c>
      <c r="C170" s="6">
        <v>34971</v>
      </c>
      <c r="D170" s="6">
        <v>57070</v>
      </c>
      <c r="E170" s="6">
        <v>47460</v>
      </c>
      <c r="F170" s="6">
        <v>23013</v>
      </c>
    </row>
    <row r="171" spans="1:6" x14ac:dyDescent="0.25">
      <c r="A171" t="s">
        <v>198</v>
      </c>
      <c r="B171" s="6">
        <v>183904</v>
      </c>
      <c r="C171" s="6">
        <v>12419</v>
      </c>
      <c r="D171" s="6">
        <v>57533</v>
      </c>
      <c r="E171" s="6">
        <v>22484</v>
      </c>
      <c r="F171" s="6">
        <v>13778</v>
      </c>
    </row>
    <row r="172" spans="1:6" x14ac:dyDescent="0.25">
      <c r="A172" t="s">
        <v>199</v>
      </c>
      <c r="B172" s="6">
        <v>253191</v>
      </c>
      <c r="C172" s="6">
        <v>29042</v>
      </c>
      <c r="D172" s="6">
        <v>55523</v>
      </c>
      <c r="E172" s="6">
        <v>17726</v>
      </c>
      <c r="F172" s="6">
        <v>29903</v>
      </c>
    </row>
    <row r="173" spans="1:6" x14ac:dyDescent="0.25">
      <c r="A173" t="s">
        <v>200</v>
      </c>
      <c r="B173" s="6">
        <v>238476</v>
      </c>
      <c r="C173" s="6">
        <v>33925</v>
      </c>
      <c r="D173" s="6">
        <v>55805</v>
      </c>
      <c r="E173" s="6">
        <v>29322</v>
      </c>
      <c r="F173" s="6">
        <v>18931</v>
      </c>
    </row>
    <row r="174" spans="1:6" x14ac:dyDescent="0.25">
      <c r="A174" t="s">
        <v>201</v>
      </c>
      <c r="B174" s="6">
        <v>76847</v>
      </c>
      <c r="C174" s="6">
        <v>21222</v>
      </c>
      <c r="D174" s="6">
        <v>39510</v>
      </c>
      <c r="E174" s="6">
        <v>17112</v>
      </c>
      <c r="F174" s="6">
        <v>19736</v>
      </c>
    </row>
    <row r="175" spans="1:6" x14ac:dyDescent="0.25">
      <c r="A175" t="s">
        <v>202</v>
      </c>
      <c r="B175" s="6">
        <v>118895</v>
      </c>
      <c r="C175" s="6">
        <v>27844</v>
      </c>
      <c r="D175" s="6">
        <v>76505</v>
      </c>
      <c r="E175" s="6">
        <v>20700</v>
      </c>
      <c r="F175" s="6">
        <v>19387</v>
      </c>
    </row>
    <row r="176" spans="1:6" x14ac:dyDescent="0.25">
      <c r="A176" t="s">
        <v>203</v>
      </c>
      <c r="B176" s="6">
        <v>276830</v>
      </c>
      <c r="C176" s="6">
        <v>12693</v>
      </c>
      <c r="D176" s="6">
        <v>70831</v>
      </c>
      <c r="E176" s="6">
        <v>30528</v>
      </c>
      <c r="F176" s="6">
        <v>11877</v>
      </c>
    </row>
    <row r="177" spans="1:6" x14ac:dyDescent="0.25">
      <c r="A177" t="s">
        <v>204</v>
      </c>
      <c r="B177" s="6">
        <v>262520</v>
      </c>
      <c r="C177" s="6">
        <v>27978</v>
      </c>
      <c r="D177" s="6">
        <v>76429</v>
      </c>
      <c r="E177" s="6">
        <v>54994</v>
      </c>
      <c r="F177" s="6">
        <v>25734</v>
      </c>
    </row>
    <row r="178" spans="1:6" x14ac:dyDescent="0.25">
      <c r="A178" t="s">
        <v>205</v>
      </c>
      <c r="B178" s="6">
        <v>162241</v>
      </c>
      <c r="C178" s="6">
        <v>15877</v>
      </c>
      <c r="D178" s="6">
        <v>60380</v>
      </c>
      <c r="E178" s="6">
        <v>24124</v>
      </c>
      <c r="F178" s="6">
        <v>11770</v>
      </c>
    </row>
    <row r="179" spans="1:6" x14ac:dyDescent="0.25">
      <c r="A179" t="s">
        <v>206</v>
      </c>
      <c r="B179" s="6">
        <v>263261</v>
      </c>
      <c r="C179" s="6">
        <v>18562</v>
      </c>
      <c r="D179" s="6">
        <v>72785</v>
      </c>
      <c r="E179" s="6">
        <v>18890</v>
      </c>
      <c r="F179" s="6">
        <v>23680</v>
      </c>
    </row>
    <row r="180" spans="1:6" x14ac:dyDescent="0.25">
      <c r="A180" t="s">
        <v>207</v>
      </c>
      <c r="B180" s="6">
        <v>141964</v>
      </c>
      <c r="C180" s="6">
        <v>39883</v>
      </c>
      <c r="D180" s="6">
        <v>38421</v>
      </c>
      <c r="E180" s="6">
        <v>54115</v>
      </c>
      <c r="F180" s="6">
        <v>22654</v>
      </c>
    </row>
    <row r="181" spans="1:6" x14ac:dyDescent="0.25">
      <c r="A181" t="s">
        <v>208</v>
      </c>
      <c r="B181" s="6">
        <v>94139</v>
      </c>
      <c r="C181" s="6">
        <v>26210</v>
      </c>
      <c r="D181" s="6">
        <v>66140</v>
      </c>
      <c r="E181" s="6">
        <v>34178</v>
      </c>
      <c r="F181" s="6">
        <v>14480</v>
      </c>
    </row>
    <row r="182" spans="1:6" x14ac:dyDescent="0.25">
      <c r="A182" t="s">
        <v>209</v>
      </c>
      <c r="B182" s="6">
        <v>200139</v>
      </c>
      <c r="C182" s="6">
        <v>22520</v>
      </c>
      <c r="D182" s="6">
        <v>76230</v>
      </c>
      <c r="E182" s="6">
        <v>48712</v>
      </c>
      <c r="F182" s="6">
        <v>27259</v>
      </c>
    </row>
    <row r="183" spans="1:6" x14ac:dyDescent="0.25">
      <c r="A183" t="s">
        <v>210</v>
      </c>
      <c r="B183" s="6">
        <v>263694</v>
      </c>
      <c r="C183" s="6">
        <v>11240</v>
      </c>
      <c r="D183" s="6">
        <v>28885</v>
      </c>
      <c r="E183" s="6">
        <v>41974</v>
      </c>
      <c r="F183" s="6">
        <v>6942</v>
      </c>
    </row>
    <row r="184" spans="1:6" x14ac:dyDescent="0.25">
      <c r="A184" t="s">
        <v>211</v>
      </c>
      <c r="B184" s="6">
        <v>122698</v>
      </c>
      <c r="C184" s="6">
        <v>13315</v>
      </c>
      <c r="D184" s="6">
        <v>65968</v>
      </c>
      <c r="E184" s="6">
        <v>23696</v>
      </c>
      <c r="F184" s="6">
        <v>13181</v>
      </c>
    </row>
    <row r="185" spans="1:6" x14ac:dyDescent="0.25">
      <c r="A185" t="s">
        <v>212</v>
      </c>
      <c r="B185" s="6">
        <v>88336</v>
      </c>
      <c r="C185" s="6">
        <v>26108</v>
      </c>
      <c r="D185" s="6">
        <v>74295</v>
      </c>
      <c r="E185" s="6">
        <v>31223</v>
      </c>
      <c r="F185" s="6">
        <v>29951</v>
      </c>
    </row>
    <row r="186" spans="1:6" x14ac:dyDescent="0.25">
      <c r="A186" t="s">
        <v>213</v>
      </c>
      <c r="B186" s="6">
        <v>271133</v>
      </c>
      <c r="C186" s="6">
        <v>30736</v>
      </c>
      <c r="D186" s="6">
        <v>52077</v>
      </c>
      <c r="E186" s="6">
        <v>24317</v>
      </c>
      <c r="F186" s="6">
        <v>23921</v>
      </c>
    </row>
    <row r="187" spans="1:6" x14ac:dyDescent="0.25">
      <c r="A187" t="s">
        <v>214</v>
      </c>
      <c r="B187" s="6">
        <v>215780</v>
      </c>
      <c r="C187" s="6">
        <v>22610</v>
      </c>
      <c r="D187" s="6">
        <v>61144</v>
      </c>
      <c r="E187" s="6">
        <v>42146</v>
      </c>
      <c r="F187" s="6">
        <v>17293</v>
      </c>
    </row>
    <row r="188" spans="1:6" x14ac:dyDescent="0.25">
      <c r="A188" t="s">
        <v>215</v>
      </c>
      <c r="B188" s="6">
        <v>168486</v>
      </c>
      <c r="C188" s="6">
        <v>9949</v>
      </c>
      <c r="D188" s="6">
        <v>61525</v>
      </c>
      <c r="E188" s="6">
        <v>21101</v>
      </c>
      <c r="F188" s="6">
        <v>18200</v>
      </c>
    </row>
    <row r="189" spans="1:6" x14ac:dyDescent="0.25">
      <c r="A189" t="s">
        <v>216</v>
      </c>
      <c r="B189" s="6">
        <v>185164</v>
      </c>
      <c r="C189" s="6">
        <v>23233</v>
      </c>
      <c r="D189" s="6">
        <v>65528</v>
      </c>
      <c r="E189" s="6">
        <v>39187</v>
      </c>
      <c r="F189" s="6">
        <v>19899</v>
      </c>
    </row>
    <row r="190" spans="1:6" x14ac:dyDescent="0.25">
      <c r="A190" t="s">
        <v>217</v>
      </c>
      <c r="B190" s="6">
        <v>299103</v>
      </c>
      <c r="C190" s="6">
        <v>36984</v>
      </c>
      <c r="D190" s="6">
        <v>41449</v>
      </c>
      <c r="E190" s="6">
        <v>53139</v>
      </c>
      <c r="F190" s="6">
        <v>5081</v>
      </c>
    </row>
    <row r="191" spans="1:6" x14ac:dyDescent="0.25">
      <c r="A191" t="s">
        <v>218</v>
      </c>
      <c r="B191" s="6">
        <v>277778</v>
      </c>
      <c r="C191" s="6">
        <v>11104</v>
      </c>
      <c r="D191" s="6">
        <v>67902</v>
      </c>
      <c r="E191" s="6">
        <v>45044</v>
      </c>
      <c r="F191" s="6">
        <v>25802</v>
      </c>
    </row>
    <row r="192" spans="1:6" x14ac:dyDescent="0.25">
      <c r="A192" t="s">
        <v>219</v>
      </c>
      <c r="B192" s="6">
        <v>224101</v>
      </c>
      <c r="C192" s="6">
        <v>28476</v>
      </c>
      <c r="D192" s="6">
        <v>75712</v>
      </c>
      <c r="E192" s="6">
        <v>19150</v>
      </c>
      <c r="F192" s="6">
        <v>22512</v>
      </c>
    </row>
    <row r="193" spans="1:6" x14ac:dyDescent="0.25">
      <c r="A193" t="s">
        <v>220</v>
      </c>
      <c r="B193" s="6">
        <v>154258</v>
      </c>
      <c r="C193" s="6">
        <v>19275</v>
      </c>
      <c r="D193" s="6">
        <v>48157</v>
      </c>
      <c r="E193" s="6">
        <v>28883</v>
      </c>
      <c r="F193" s="6">
        <v>21210</v>
      </c>
    </row>
    <row r="194" spans="1:6" x14ac:dyDescent="0.25">
      <c r="A194" t="s">
        <v>221</v>
      </c>
      <c r="B194" s="6">
        <v>120395</v>
      </c>
      <c r="C194" s="6">
        <v>26159</v>
      </c>
      <c r="D194" s="6">
        <v>74286</v>
      </c>
      <c r="E194" s="6">
        <v>33585</v>
      </c>
      <c r="F194" s="6">
        <v>16067</v>
      </c>
    </row>
    <row r="195" spans="1:6" x14ac:dyDescent="0.25">
      <c r="A195" t="s">
        <v>222</v>
      </c>
      <c r="B195" s="6">
        <v>193474</v>
      </c>
      <c r="C195" s="6">
        <v>13558</v>
      </c>
      <c r="D195" s="6">
        <v>57102</v>
      </c>
      <c r="E195" s="6">
        <v>46807</v>
      </c>
      <c r="F195" s="6">
        <v>16263</v>
      </c>
    </row>
    <row r="196" spans="1:6" x14ac:dyDescent="0.25">
      <c r="A196" t="s">
        <v>223</v>
      </c>
      <c r="B196" s="6">
        <v>284397</v>
      </c>
      <c r="C196" s="6">
        <v>8172</v>
      </c>
      <c r="D196" s="6">
        <v>23010</v>
      </c>
      <c r="E196" s="6">
        <v>21525</v>
      </c>
      <c r="F196" s="6">
        <v>25518</v>
      </c>
    </row>
    <row r="197" spans="1:6" x14ac:dyDescent="0.25">
      <c r="A197" t="s">
        <v>224</v>
      </c>
      <c r="B197" s="6">
        <v>255491</v>
      </c>
      <c r="C197" s="6">
        <v>35119</v>
      </c>
      <c r="D197" s="6">
        <v>21067</v>
      </c>
      <c r="E197" s="6">
        <v>23142</v>
      </c>
      <c r="F197" s="6">
        <v>10176</v>
      </c>
    </row>
    <row r="198" spans="1:6" x14ac:dyDescent="0.25">
      <c r="A198" t="s">
        <v>225</v>
      </c>
      <c r="B198" s="6">
        <v>165680</v>
      </c>
      <c r="C198" s="6">
        <v>34918</v>
      </c>
      <c r="D198" s="6">
        <v>20044</v>
      </c>
      <c r="E198" s="6">
        <v>43036</v>
      </c>
      <c r="F198" s="6">
        <v>11629</v>
      </c>
    </row>
    <row r="199" spans="1:6" x14ac:dyDescent="0.25">
      <c r="A199" t="s">
        <v>226</v>
      </c>
      <c r="B199" s="6">
        <v>230510</v>
      </c>
      <c r="C199" s="6">
        <v>13645</v>
      </c>
      <c r="D199" s="6">
        <v>77812</v>
      </c>
      <c r="E199" s="6">
        <v>57598</v>
      </c>
      <c r="F199" s="6">
        <v>14891</v>
      </c>
    </row>
    <row r="200" spans="1:6" x14ac:dyDescent="0.25">
      <c r="A200" t="s">
        <v>227</v>
      </c>
      <c r="B200" s="6">
        <v>91674</v>
      </c>
      <c r="C200" s="6">
        <v>22958</v>
      </c>
      <c r="D200" s="6">
        <v>26117</v>
      </c>
      <c r="E200" s="6">
        <v>57899</v>
      </c>
      <c r="F200" s="6">
        <v>16810</v>
      </c>
    </row>
    <row r="201" spans="1:6" x14ac:dyDescent="0.25">
      <c r="A201" t="s">
        <v>228</v>
      </c>
      <c r="B201" s="6">
        <v>115638</v>
      </c>
      <c r="C201" s="6">
        <v>10401</v>
      </c>
      <c r="D201" s="6">
        <v>44369</v>
      </c>
      <c r="E201" s="6">
        <v>58549</v>
      </c>
      <c r="F201" s="6">
        <v>26263</v>
      </c>
    </row>
    <row r="202" spans="1:6" x14ac:dyDescent="0.25">
      <c r="A202" t="s">
        <v>229</v>
      </c>
      <c r="B202" s="6">
        <v>93391</v>
      </c>
      <c r="C202" s="6">
        <v>8393</v>
      </c>
      <c r="D202" s="6">
        <v>45974</v>
      </c>
      <c r="E202" s="6">
        <v>55999</v>
      </c>
      <c r="F202" s="6">
        <v>15010</v>
      </c>
    </row>
    <row r="203" spans="1:6" x14ac:dyDescent="0.25">
      <c r="A203" t="s">
        <v>230</v>
      </c>
      <c r="B203" s="6">
        <v>240313</v>
      </c>
      <c r="C203" s="6">
        <v>20344</v>
      </c>
      <c r="D203" s="6">
        <v>48130</v>
      </c>
      <c r="E203" s="6">
        <v>57957</v>
      </c>
      <c r="F203" s="6">
        <v>7988</v>
      </c>
    </row>
    <row r="204" spans="1:6" x14ac:dyDescent="0.25">
      <c r="A204" t="s">
        <v>231</v>
      </c>
      <c r="B204" s="6">
        <v>234470</v>
      </c>
      <c r="C204" s="6">
        <v>11237</v>
      </c>
      <c r="D204" s="6">
        <v>20071</v>
      </c>
      <c r="E204" s="6">
        <v>28986</v>
      </c>
      <c r="F204" s="6">
        <v>20624</v>
      </c>
    </row>
    <row r="205" spans="1:6" x14ac:dyDescent="0.25">
      <c r="A205" t="s">
        <v>232</v>
      </c>
      <c r="B205" s="6">
        <v>70431</v>
      </c>
      <c r="C205" s="6">
        <v>13696</v>
      </c>
      <c r="D205" s="6">
        <v>58907</v>
      </c>
      <c r="E205" s="6">
        <v>29823</v>
      </c>
      <c r="F205" s="6">
        <v>22021</v>
      </c>
    </row>
    <row r="206" spans="1:6" x14ac:dyDescent="0.25">
      <c r="A206" t="s">
        <v>233</v>
      </c>
      <c r="B206" s="6">
        <v>228253</v>
      </c>
      <c r="C206" s="6">
        <v>34167</v>
      </c>
      <c r="D206" s="6">
        <v>20608</v>
      </c>
      <c r="E206" s="6">
        <v>15528</v>
      </c>
      <c r="F206" s="6">
        <v>27793</v>
      </c>
    </row>
    <row r="207" spans="1:6" x14ac:dyDescent="0.25">
      <c r="A207" t="s">
        <v>234</v>
      </c>
      <c r="B207" s="6">
        <v>140065</v>
      </c>
      <c r="C207" s="6">
        <v>12903</v>
      </c>
      <c r="D207" s="6">
        <v>76383</v>
      </c>
      <c r="E207" s="6">
        <v>42676</v>
      </c>
      <c r="F207" s="6">
        <v>27742</v>
      </c>
    </row>
    <row r="208" spans="1:6" x14ac:dyDescent="0.25">
      <c r="A208" t="s">
        <v>235</v>
      </c>
      <c r="B208" s="6">
        <v>84648</v>
      </c>
      <c r="C208" s="6">
        <v>36306</v>
      </c>
      <c r="D208" s="6">
        <v>24641</v>
      </c>
      <c r="E208" s="6">
        <v>30004</v>
      </c>
      <c r="F208" s="6">
        <v>17552</v>
      </c>
    </row>
    <row r="209" spans="1:6" x14ac:dyDescent="0.25">
      <c r="A209" t="s">
        <v>236</v>
      </c>
      <c r="B209" s="6">
        <v>73417</v>
      </c>
      <c r="C209" s="6">
        <v>11712</v>
      </c>
      <c r="D209" s="6">
        <v>26763</v>
      </c>
      <c r="E209" s="6">
        <v>35535</v>
      </c>
      <c r="F209" s="6">
        <v>17044</v>
      </c>
    </row>
    <row r="210" spans="1:6" x14ac:dyDescent="0.25">
      <c r="A210" t="s">
        <v>237</v>
      </c>
      <c r="B210" s="6">
        <v>280945</v>
      </c>
      <c r="C210" s="6">
        <v>24611</v>
      </c>
      <c r="D210" s="6">
        <v>28986</v>
      </c>
      <c r="E210" s="6">
        <v>40082</v>
      </c>
      <c r="F210" s="6">
        <v>29679</v>
      </c>
    </row>
    <row r="211" spans="1:6" x14ac:dyDescent="0.25">
      <c r="A211" t="s">
        <v>238</v>
      </c>
      <c r="B211" s="6">
        <v>279244</v>
      </c>
      <c r="C211" s="6">
        <v>13725</v>
      </c>
      <c r="D211" s="6">
        <v>62046</v>
      </c>
      <c r="E211" s="6">
        <v>59376</v>
      </c>
      <c r="F211" s="6">
        <v>9681</v>
      </c>
    </row>
    <row r="212" spans="1:6" x14ac:dyDescent="0.25">
      <c r="A212" t="s">
        <v>239</v>
      </c>
      <c r="B212" s="6">
        <v>67933</v>
      </c>
      <c r="C212" s="6">
        <v>39767</v>
      </c>
      <c r="D212" s="6">
        <v>56915</v>
      </c>
      <c r="E212" s="6">
        <v>15555</v>
      </c>
      <c r="F212" s="6">
        <v>24998</v>
      </c>
    </row>
    <row r="213" spans="1:6" x14ac:dyDescent="0.25">
      <c r="A213" t="s">
        <v>240</v>
      </c>
      <c r="B213" s="6">
        <v>220398</v>
      </c>
      <c r="C213" s="6">
        <v>15755</v>
      </c>
      <c r="D213" s="6">
        <v>48842</v>
      </c>
      <c r="E213" s="6">
        <v>38015</v>
      </c>
      <c r="F213" s="6">
        <v>28672</v>
      </c>
    </row>
    <row r="214" spans="1:6" x14ac:dyDescent="0.25">
      <c r="A214" t="s">
        <v>241</v>
      </c>
      <c r="B214" s="6">
        <v>105851</v>
      </c>
      <c r="C214" s="6">
        <v>14920</v>
      </c>
      <c r="D214" s="6">
        <v>46981</v>
      </c>
      <c r="E214" s="6">
        <v>55375</v>
      </c>
      <c r="F214" s="6">
        <v>27497</v>
      </c>
    </row>
    <row r="215" spans="1:6" x14ac:dyDescent="0.25">
      <c r="A215" t="s">
        <v>242</v>
      </c>
      <c r="B215" s="6">
        <v>165968</v>
      </c>
      <c r="C215" s="6">
        <v>19237</v>
      </c>
      <c r="D215" s="6">
        <v>25681</v>
      </c>
      <c r="E215" s="6">
        <v>21584</v>
      </c>
      <c r="F215" s="6">
        <v>9587</v>
      </c>
    </row>
    <row r="216" spans="1:6" x14ac:dyDescent="0.25">
      <c r="A216" t="s">
        <v>243</v>
      </c>
      <c r="B216" s="6">
        <v>247249</v>
      </c>
      <c r="C216" s="6">
        <v>13071</v>
      </c>
      <c r="D216" s="6">
        <v>58638</v>
      </c>
      <c r="E216" s="6">
        <v>40167</v>
      </c>
      <c r="F216" s="6">
        <v>16519</v>
      </c>
    </row>
    <row r="217" spans="1:6" x14ac:dyDescent="0.25">
      <c r="A217" t="s">
        <v>244</v>
      </c>
      <c r="B217" s="6">
        <v>162561</v>
      </c>
      <c r="C217" s="6">
        <v>25611</v>
      </c>
      <c r="D217" s="6">
        <v>71844</v>
      </c>
      <c r="E217" s="6">
        <v>24163</v>
      </c>
      <c r="F217" s="6">
        <v>13119</v>
      </c>
    </row>
    <row r="218" spans="1:6" x14ac:dyDescent="0.25">
      <c r="A218" t="s">
        <v>245</v>
      </c>
      <c r="B218" s="6">
        <v>122605</v>
      </c>
      <c r="C218" s="6">
        <v>10521</v>
      </c>
      <c r="D218" s="6">
        <v>36263</v>
      </c>
      <c r="E218" s="6">
        <v>51267</v>
      </c>
      <c r="F218" s="6">
        <v>24693</v>
      </c>
    </row>
    <row r="219" spans="1:6" x14ac:dyDescent="0.25">
      <c r="A219" t="s">
        <v>246</v>
      </c>
      <c r="B219" s="6">
        <v>207288</v>
      </c>
      <c r="C219" s="6">
        <v>23672</v>
      </c>
      <c r="D219" s="6">
        <v>71050</v>
      </c>
      <c r="E219" s="6">
        <v>16757</v>
      </c>
      <c r="F219" s="6">
        <v>26574</v>
      </c>
    </row>
    <row r="220" spans="1:6" x14ac:dyDescent="0.25">
      <c r="A220" t="s">
        <v>247</v>
      </c>
      <c r="B220" s="6">
        <v>279592</v>
      </c>
      <c r="C220" s="6">
        <v>24768</v>
      </c>
      <c r="D220" s="6">
        <v>33464</v>
      </c>
      <c r="E220" s="6">
        <v>48931</v>
      </c>
      <c r="F220" s="6">
        <v>24887</v>
      </c>
    </row>
    <row r="221" spans="1:6" x14ac:dyDescent="0.25">
      <c r="A221" t="s">
        <v>248</v>
      </c>
      <c r="B221" s="6">
        <v>183568</v>
      </c>
      <c r="C221" s="6">
        <v>17363</v>
      </c>
      <c r="D221" s="6">
        <v>69010</v>
      </c>
      <c r="E221" s="6">
        <v>40673</v>
      </c>
      <c r="F221" s="6">
        <v>14684</v>
      </c>
    </row>
    <row r="222" spans="1:6" x14ac:dyDescent="0.25">
      <c r="A222" t="s">
        <v>249</v>
      </c>
      <c r="B222" s="6">
        <v>219389</v>
      </c>
      <c r="C222" s="6">
        <v>8576</v>
      </c>
      <c r="D222" s="6">
        <v>71367</v>
      </c>
      <c r="E222" s="6">
        <v>30685</v>
      </c>
      <c r="F222" s="6">
        <v>21216</v>
      </c>
    </row>
    <row r="223" spans="1:6" x14ac:dyDescent="0.25">
      <c r="A223" t="s">
        <v>250</v>
      </c>
      <c r="B223" s="6">
        <v>151157</v>
      </c>
      <c r="C223" s="6">
        <v>12388</v>
      </c>
      <c r="D223" s="6">
        <v>35799</v>
      </c>
      <c r="E223" s="6">
        <v>47740</v>
      </c>
      <c r="F223" s="6">
        <v>25908</v>
      </c>
    </row>
    <row r="224" spans="1:6" x14ac:dyDescent="0.25">
      <c r="A224" t="s">
        <v>251</v>
      </c>
      <c r="B224" s="6">
        <v>205695</v>
      </c>
      <c r="C224" s="6">
        <v>9653</v>
      </c>
      <c r="D224" s="6">
        <v>54621</v>
      </c>
      <c r="E224" s="6">
        <v>15790</v>
      </c>
      <c r="F224" s="6">
        <v>16832</v>
      </c>
    </row>
    <row r="225" spans="1:6" x14ac:dyDescent="0.25">
      <c r="A225" t="s">
        <v>252</v>
      </c>
      <c r="B225" s="6">
        <v>294822</v>
      </c>
      <c r="C225" s="6">
        <v>25740</v>
      </c>
      <c r="D225" s="6">
        <v>28649</v>
      </c>
      <c r="E225" s="6">
        <v>40351</v>
      </c>
      <c r="F225" s="6">
        <v>23624</v>
      </c>
    </row>
    <row r="226" spans="1:6" x14ac:dyDescent="0.25">
      <c r="A226" t="s">
        <v>253</v>
      </c>
      <c r="B226" s="6">
        <v>160326</v>
      </c>
      <c r="C226" s="6">
        <v>28947</v>
      </c>
      <c r="D226" s="6">
        <v>55806</v>
      </c>
      <c r="E226" s="6">
        <v>59757</v>
      </c>
      <c r="F226" s="6">
        <v>10661</v>
      </c>
    </row>
    <row r="227" spans="1:6" x14ac:dyDescent="0.25">
      <c r="A227" t="s">
        <v>254</v>
      </c>
      <c r="B227" s="6">
        <v>249944</v>
      </c>
      <c r="C227" s="6">
        <v>35868</v>
      </c>
      <c r="D227" s="6">
        <v>70486</v>
      </c>
      <c r="E227" s="6">
        <v>19783</v>
      </c>
      <c r="F227" s="6">
        <v>5546</v>
      </c>
    </row>
    <row r="228" spans="1:6" x14ac:dyDescent="0.25">
      <c r="A228" t="s">
        <v>255</v>
      </c>
      <c r="B228" s="6">
        <v>203973</v>
      </c>
      <c r="C228" s="6">
        <v>9425</v>
      </c>
      <c r="D228" s="6">
        <v>20903</v>
      </c>
      <c r="E228" s="6">
        <v>32182</v>
      </c>
      <c r="F228" s="6">
        <v>12069</v>
      </c>
    </row>
    <row r="229" spans="1:6" x14ac:dyDescent="0.25">
      <c r="A229" t="s">
        <v>256</v>
      </c>
      <c r="B229" s="6">
        <v>60440</v>
      </c>
      <c r="C229" s="6">
        <v>8962</v>
      </c>
      <c r="D229" s="6">
        <v>71726</v>
      </c>
      <c r="E229" s="6">
        <v>41081</v>
      </c>
      <c r="F229" s="6">
        <v>21600</v>
      </c>
    </row>
    <row r="230" spans="1:6" x14ac:dyDescent="0.25">
      <c r="A230" t="s">
        <v>257</v>
      </c>
      <c r="B230" s="6">
        <v>125101</v>
      </c>
      <c r="C230" s="6">
        <v>37836</v>
      </c>
      <c r="D230" s="6">
        <v>70273</v>
      </c>
      <c r="E230" s="6">
        <v>42225</v>
      </c>
      <c r="F230" s="6">
        <v>18879</v>
      </c>
    </row>
    <row r="231" spans="1:6" x14ac:dyDescent="0.25">
      <c r="A231" t="s">
        <v>258</v>
      </c>
      <c r="B231" s="6">
        <v>233975</v>
      </c>
      <c r="C231" s="6">
        <v>31363</v>
      </c>
      <c r="D231" s="6">
        <v>25401</v>
      </c>
      <c r="E231" s="6">
        <v>56978</v>
      </c>
      <c r="F231" s="6">
        <v>22582</v>
      </c>
    </row>
    <row r="232" spans="1:6" x14ac:dyDescent="0.25">
      <c r="A232" t="s">
        <v>259</v>
      </c>
      <c r="B232" s="6">
        <v>190943</v>
      </c>
      <c r="C232" s="6">
        <v>15006</v>
      </c>
      <c r="D232" s="6">
        <v>38184</v>
      </c>
      <c r="E232" s="6">
        <v>20478</v>
      </c>
      <c r="F232" s="6">
        <v>15155</v>
      </c>
    </row>
    <row r="233" spans="1:6" x14ac:dyDescent="0.25">
      <c r="A233" t="s">
        <v>260</v>
      </c>
      <c r="B233" s="6">
        <v>70715</v>
      </c>
      <c r="C233" s="6">
        <v>38508</v>
      </c>
      <c r="D233" s="6">
        <v>33316</v>
      </c>
      <c r="E233" s="6">
        <v>25182</v>
      </c>
      <c r="F233" s="6">
        <v>22576</v>
      </c>
    </row>
    <row r="234" spans="1:6" x14ac:dyDescent="0.25">
      <c r="A234" t="s">
        <v>261</v>
      </c>
      <c r="B234" s="6">
        <v>135655</v>
      </c>
      <c r="C234" s="6">
        <v>30606</v>
      </c>
      <c r="D234" s="6">
        <v>58432</v>
      </c>
      <c r="E234" s="6">
        <v>56569</v>
      </c>
      <c r="F234" s="6">
        <v>26293</v>
      </c>
    </row>
    <row r="235" spans="1:6" x14ac:dyDescent="0.25">
      <c r="A235" t="s">
        <v>262</v>
      </c>
      <c r="B235" s="6">
        <v>228534</v>
      </c>
      <c r="C235" s="6">
        <v>9332</v>
      </c>
      <c r="D235" s="6">
        <v>40327</v>
      </c>
      <c r="E235" s="6">
        <v>43671</v>
      </c>
      <c r="F235" s="6">
        <v>28919</v>
      </c>
    </row>
    <row r="236" spans="1:6" x14ac:dyDescent="0.25">
      <c r="A236" t="s">
        <v>263</v>
      </c>
      <c r="B236" s="6">
        <v>299935</v>
      </c>
      <c r="C236" s="6">
        <v>20639</v>
      </c>
      <c r="D236" s="6">
        <v>23794</v>
      </c>
      <c r="E236" s="6">
        <v>31022</v>
      </c>
      <c r="F236" s="6">
        <v>7825</v>
      </c>
    </row>
    <row r="237" spans="1:6" x14ac:dyDescent="0.25">
      <c r="A237" t="s">
        <v>264</v>
      </c>
      <c r="B237" s="6">
        <v>292385</v>
      </c>
      <c r="C237" s="6">
        <v>33474</v>
      </c>
      <c r="D237" s="6">
        <v>27601</v>
      </c>
      <c r="E237" s="6">
        <v>44712</v>
      </c>
      <c r="F237" s="6">
        <v>25063</v>
      </c>
    </row>
    <row r="238" spans="1:6" x14ac:dyDescent="0.25">
      <c r="A238" t="s">
        <v>265</v>
      </c>
      <c r="B238" s="6">
        <v>209601</v>
      </c>
      <c r="C238" s="6">
        <v>8606</v>
      </c>
      <c r="D238" s="6">
        <v>40269</v>
      </c>
      <c r="E238" s="6">
        <v>58652</v>
      </c>
      <c r="F238" s="6">
        <v>29303</v>
      </c>
    </row>
    <row r="239" spans="1:6" x14ac:dyDescent="0.25">
      <c r="A239" t="s">
        <v>266</v>
      </c>
      <c r="B239" s="6">
        <v>222504</v>
      </c>
      <c r="C239" s="6">
        <v>16511</v>
      </c>
      <c r="D239" s="6">
        <v>27827</v>
      </c>
      <c r="E239" s="6">
        <v>15830</v>
      </c>
      <c r="F239" s="6">
        <v>28196</v>
      </c>
    </row>
    <row r="240" spans="1:6" x14ac:dyDescent="0.25">
      <c r="A240" t="s">
        <v>267</v>
      </c>
      <c r="B240" s="6">
        <v>85969</v>
      </c>
      <c r="C240" s="6">
        <v>5743</v>
      </c>
      <c r="D240" s="6">
        <v>30736</v>
      </c>
      <c r="E240" s="6">
        <v>47532</v>
      </c>
      <c r="F240" s="6">
        <v>16360</v>
      </c>
    </row>
    <row r="241" spans="1:6" x14ac:dyDescent="0.25">
      <c r="A241" t="s">
        <v>268</v>
      </c>
      <c r="B241" s="6">
        <v>187102</v>
      </c>
      <c r="C241" s="6">
        <v>38896</v>
      </c>
      <c r="D241" s="6">
        <v>71313</v>
      </c>
      <c r="E241" s="6">
        <v>31990</v>
      </c>
      <c r="F241" s="6">
        <v>10471</v>
      </c>
    </row>
    <row r="242" spans="1:6" x14ac:dyDescent="0.25">
      <c r="A242" t="s">
        <v>269</v>
      </c>
      <c r="B242" s="6">
        <v>147483</v>
      </c>
      <c r="C242" s="6">
        <v>13318</v>
      </c>
      <c r="D242" s="6">
        <v>69137</v>
      </c>
      <c r="E242" s="6">
        <v>32613</v>
      </c>
      <c r="F242" s="6">
        <v>29016</v>
      </c>
    </row>
    <row r="243" spans="1:6" x14ac:dyDescent="0.25">
      <c r="A243" t="s">
        <v>270</v>
      </c>
      <c r="B243" s="6">
        <v>282368</v>
      </c>
      <c r="C243" s="6">
        <v>12736</v>
      </c>
      <c r="D243" s="6">
        <v>70556</v>
      </c>
      <c r="E243" s="6">
        <v>16923</v>
      </c>
      <c r="F243" s="6">
        <v>15977</v>
      </c>
    </row>
    <row r="244" spans="1:6" x14ac:dyDescent="0.25">
      <c r="A244" t="s">
        <v>271</v>
      </c>
      <c r="B244" s="6">
        <v>261578</v>
      </c>
      <c r="C244" s="6">
        <v>33136</v>
      </c>
      <c r="D244" s="6">
        <v>37824</v>
      </c>
      <c r="E244" s="6">
        <v>49331</v>
      </c>
      <c r="F244" s="6">
        <v>7092</v>
      </c>
    </row>
    <row r="245" spans="1:6" x14ac:dyDescent="0.25">
      <c r="A245" t="s">
        <v>272</v>
      </c>
      <c r="B245" s="6">
        <v>118930</v>
      </c>
      <c r="C245" s="6">
        <v>10050</v>
      </c>
      <c r="D245" s="6">
        <v>52515</v>
      </c>
      <c r="E245" s="6">
        <v>44831</v>
      </c>
      <c r="F245" s="6">
        <v>21737</v>
      </c>
    </row>
    <row r="246" spans="1:6" x14ac:dyDescent="0.25">
      <c r="A246" t="s">
        <v>273</v>
      </c>
      <c r="B246" s="6">
        <v>144404</v>
      </c>
      <c r="C246" s="6">
        <v>8633</v>
      </c>
      <c r="D246" s="6">
        <v>52742</v>
      </c>
      <c r="E246" s="6">
        <v>52151</v>
      </c>
      <c r="F246" s="6">
        <v>10468</v>
      </c>
    </row>
    <row r="247" spans="1:6" x14ac:dyDescent="0.25">
      <c r="A247" t="s">
        <v>274</v>
      </c>
      <c r="B247" s="6">
        <v>146387</v>
      </c>
      <c r="C247" s="6">
        <v>15309</v>
      </c>
      <c r="D247" s="6">
        <v>36719</v>
      </c>
      <c r="E247" s="6">
        <v>21743</v>
      </c>
      <c r="F247" s="6">
        <v>23805</v>
      </c>
    </row>
    <row r="248" spans="1:6" x14ac:dyDescent="0.25">
      <c r="A248" t="s">
        <v>275</v>
      </c>
      <c r="B248" s="6">
        <v>226716</v>
      </c>
      <c r="C248" s="6">
        <v>12558</v>
      </c>
      <c r="D248" s="6">
        <v>34968</v>
      </c>
      <c r="E248" s="6">
        <v>48346</v>
      </c>
      <c r="F248" s="6">
        <v>5084</v>
      </c>
    </row>
    <row r="249" spans="1:6" x14ac:dyDescent="0.25">
      <c r="A249" t="s">
        <v>276</v>
      </c>
      <c r="B249" s="6">
        <v>61544</v>
      </c>
      <c r="C249" s="6">
        <v>5805</v>
      </c>
      <c r="D249" s="6">
        <v>36026</v>
      </c>
      <c r="E249" s="6">
        <v>18013</v>
      </c>
      <c r="F249" s="6">
        <v>20458</v>
      </c>
    </row>
    <row r="250" spans="1:6" x14ac:dyDescent="0.25">
      <c r="A250" t="s">
        <v>277</v>
      </c>
      <c r="B250" s="6">
        <v>145414</v>
      </c>
      <c r="C250" s="6">
        <v>30098</v>
      </c>
      <c r="D250" s="6">
        <v>29835</v>
      </c>
      <c r="E250" s="6">
        <v>26728</v>
      </c>
      <c r="F250" s="6">
        <v>6158</v>
      </c>
    </row>
    <row r="251" spans="1:6" x14ac:dyDescent="0.25">
      <c r="A251" t="s">
        <v>278</v>
      </c>
      <c r="B251" s="6">
        <v>194930</v>
      </c>
      <c r="C251" s="6">
        <v>32483</v>
      </c>
      <c r="D251" s="6">
        <v>34713</v>
      </c>
      <c r="E251" s="6">
        <v>36089</v>
      </c>
      <c r="F251" s="6">
        <v>13135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7"/>
  <sheetViews>
    <sheetView zoomScale="85" zoomScaleNormal="85" workbookViewId="0">
      <selection activeCell="B8" sqref="B8"/>
    </sheetView>
  </sheetViews>
  <sheetFormatPr defaultRowHeight="15" x14ac:dyDescent="0.25"/>
  <cols>
    <col min="1" max="1" width="13.42578125" customWidth="1"/>
    <col min="2" max="2" width="23.7109375" customWidth="1"/>
    <col min="3" max="4" width="21.28515625" customWidth="1"/>
    <col min="5" max="5" width="14.85546875" customWidth="1"/>
    <col min="6" max="6" width="21.140625" customWidth="1"/>
    <col min="7" max="7" width="23" customWidth="1"/>
    <col min="8" max="9" width="9.28515625" bestFit="1" customWidth="1"/>
    <col min="10" max="10" width="9.85546875" customWidth="1"/>
    <col min="11" max="11" width="9.28515625" bestFit="1" customWidth="1"/>
    <col min="12" max="12" width="15" bestFit="1" customWidth="1"/>
    <col min="13" max="13" width="9.85546875" customWidth="1"/>
  </cols>
  <sheetData>
    <row r="2" spans="1:12" ht="21" x14ac:dyDescent="0.35">
      <c r="A2" s="30" t="s">
        <v>291</v>
      </c>
      <c r="B2" s="30"/>
      <c r="C2" s="30"/>
      <c r="D2" s="30"/>
      <c r="E2" s="30"/>
      <c r="F2" s="30"/>
      <c r="G2" s="30"/>
    </row>
    <row r="3" spans="1:12" ht="16.5" x14ac:dyDescent="0.3">
      <c r="A3" s="14" t="s">
        <v>284</v>
      </c>
      <c r="B3" s="14" t="s">
        <v>285</v>
      </c>
      <c r="C3" s="14" t="s">
        <v>286</v>
      </c>
      <c r="D3" s="14" t="s">
        <v>287</v>
      </c>
      <c r="E3" s="14" t="s">
        <v>288</v>
      </c>
      <c r="F3" s="14" t="s">
        <v>289</v>
      </c>
      <c r="G3" s="14" t="s">
        <v>290</v>
      </c>
    </row>
    <row r="4" spans="1:12" ht="16.5" x14ac:dyDescent="0.3">
      <c r="A4" s="16">
        <v>93070468</v>
      </c>
      <c r="B4" s="16">
        <v>3835428</v>
      </c>
      <c r="C4" s="16">
        <v>595.4375903676123</v>
      </c>
      <c r="D4" s="24">
        <v>250</v>
      </c>
      <c r="E4" s="24">
        <v>149</v>
      </c>
      <c r="F4" s="25">
        <v>0.40400000000000003</v>
      </c>
      <c r="G4" s="25">
        <v>0.59599999999999997</v>
      </c>
    </row>
    <row r="7" spans="1:12" ht="16.5" x14ac:dyDescent="0.3">
      <c r="A7" s="10" t="s">
        <v>292</v>
      </c>
      <c r="E7" s="9" t="s">
        <v>293</v>
      </c>
    </row>
    <row r="8" spans="1:12" ht="16.5" x14ac:dyDescent="0.3">
      <c r="A8" s="26" t="s">
        <v>5</v>
      </c>
      <c r="B8" s="27" t="s">
        <v>284</v>
      </c>
      <c r="E8" s="26" t="s">
        <v>3</v>
      </c>
      <c r="F8" s="27" t="s">
        <v>294</v>
      </c>
      <c r="G8" s="27" t="s">
        <v>295</v>
      </c>
    </row>
    <row r="9" spans="1:12" ht="16.5" x14ac:dyDescent="0.3">
      <c r="A9" s="27" t="s">
        <v>19</v>
      </c>
      <c r="B9" s="12">
        <v>14562579</v>
      </c>
      <c r="E9" s="27" t="s">
        <v>12</v>
      </c>
      <c r="F9" s="12">
        <v>1840534</v>
      </c>
      <c r="G9" s="12">
        <v>1715460</v>
      </c>
      <c r="J9" s="22"/>
      <c r="K9" s="23"/>
      <c r="L9" s="23"/>
    </row>
    <row r="10" spans="1:12" ht="16.5" x14ac:dyDescent="0.3">
      <c r="A10" s="27" t="s">
        <v>43</v>
      </c>
      <c r="B10" s="12">
        <v>16564934</v>
      </c>
      <c r="E10" s="27" t="s">
        <v>22</v>
      </c>
      <c r="F10" s="12">
        <v>3458416</v>
      </c>
      <c r="G10" s="12">
        <v>3290133</v>
      </c>
      <c r="J10" s="22"/>
      <c r="K10" s="23"/>
      <c r="L10" s="23"/>
    </row>
    <row r="11" spans="1:12" ht="16.5" x14ac:dyDescent="0.3">
      <c r="A11" s="27" t="s">
        <v>14</v>
      </c>
      <c r="B11" s="12">
        <v>16069370</v>
      </c>
      <c r="E11" s="27" t="s">
        <v>38</v>
      </c>
      <c r="F11" s="12">
        <v>2075213</v>
      </c>
      <c r="G11" s="12">
        <v>1977074</v>
      </c>
      <c r="J11" s="22"/>
      <c r="K11" s="23"/>
      <c r="L11" s="23"/>
    </row>
    <row r="12" spans="1:12" ht="16.5" x14ac:dyDescent="0.3">
      <c r="A12" s="27" t="s">
        <v>31</v>
      </c>
      <c r="B12" s="12">
        <v>16830147</v>
      </c>
      <c r="E12" s="27" t="s">
        <v>30</v>
      </c>
      <c r="F12" s="12">
        <v>1858978</v>
      </c>
      <c r="G12" s="12">
        <v>1800028</v>
      </c>
      <c r="J12" s="22"/>
      <c r="K12" s="23"/>
      <c r="L12" s="23"/>
    </row>
    <row r="13" spans="1:12" ht="16.5" x14ac:dyDescent="0.3">
      <c r="A13" s="27" t="s">
        <v>26</v>
      </c>
      <c r="B13" s="12">
        <v>15052149</v>
      </c>
      <c r="E13" s="27" t="s">
        <v>25</v>
      </c>
      <c r="F13" s="12">
        <v>1826711</v>
      </c>
      <c r="G13" s="12">
        <v>1730801</v>
      </c>
      <c r="J13" s="22"/>
      <c r="K13" s="23"/>
      <c r="L13" s="23"/>
    </row>
    <row r="14" spans="1:12" ht="16.5" x14ac:dyDescent="0.3">
      <c r="A14" s="27" t="s">
        <v>46</v>
      </c>
      <c r="B14" s="12">
        <v>13991289</v>
      </c>
      <c r="J14" s="22"/>
      <c r="K14" s="23"/>
      <c r="L14" s="23"/>
    </row>
    <row r="15" spans="1:12" ht="16.5" x14ac:dyDescent="0.3">
      <c r="J15" s="22"/>
      <c r="K15" s="23"/>
      <c r="L15" s="23"/>
    </row>
    <row r="16" spans="1:12" ht="16.5" x14ac:dyDescent="0.3">
      <c r="J16" s="22"/>
      <c r="K16" s="23"/>
      <c r="L16" s="23"/>
    </row>
    <row r="20" spans="1:10" ht="16.5" x14ac:dyDescent="0.3">
      <c r="A20" s="10" t="s">
        <v>296</v>
      </c>
      <c r="E20" s="10" t="s">
        <v>297</v>
      </c>
    </row>
    <row r="21" spans="1:10" ht="16.5" x14ac:dyDescent="0.3">
      <c r="A21" s="15" t="s">
        <v>6</v>
      </c>
      <c r="B21" s="14" t="s">
        <v>284</v>
      </c>
      <c r="E21" s="14"/>
      <c r="F21" s="15" t="s">
        <v>2</v>
      </c>
      <c r="G21" s="14"/>
      <c r="H21" s="14"/>
      <c r="I21" s="14"/>
      <c r="J21" s="14"/>
    </row>
    <row r="22" spans="1:10" ht="16.5" x14ac:dyDescent="0.3">
      <c r="A22" s="14" t="s">
        <v>15</v>
      </c>
      <c r="B22" s="21">
        <v>0.60381651889834698</v>
      </c>
      <c r="E22" s="14"/>
      <c r="F22" s="14" t="s">
        <v>12</v>
      </c>
      <c r="G22" s="14" t="s">
        <v>22</v>
      </c>
      <c r="H22" s="14" t="s">
        <v>13</v>
      </c>
      <c r="I22" s="14" t="s">
        <v>23</v>
      </c>
      <c r="J22" s="14" t="s">
        <v>18</v>
      </c>
    </row>
    <row r="23" spans="1:10" ht="16.5" x14ac:dyDescent="0.3">
      <c r="A23" s="14" t="s">
        <v>20</v>
      </c>
      <c r="B23" s="21">
        <v>0.39618348110165302</v>
      </c>
      <c r="E23" s="14" t="s">
        <v>284</v>
      </c>
      <c r="F23" s="16">
        <v>11961011</v>
      </c>
      <c r="G23" s="16">
        <v>12708445</v>
      </c>
      <c r="H23" s="16">
        <v>14286345</v>
      </c>
      <c r="I23" s="16">
        <v>13553728</v>
      </c>
      <c r="J23" s="16">
        <v>11318019</v>
      </c>
    </row>
    <row r="25" spans="1:10" x14ac:dyDescent="0.25">
      <c r="E25" t="s">
        <v>284</v>
      </c>
      <c r="F25">
        <v>11961011</v>
      </c>
      <c r="G25">
        <v>12708445</v>
      </c>
      <c r="H25">
        <v>14286345</v>
      </c>
      <c r="I25">
        <v>13553728</v>
      </c>
      <c r="J25">
        <v>11318019</v>
      </c>
    </row>
    <row r="29" spans="1:10" ht="16.5" x14ac:dyDescent="0.3">
      <c r="A29" s="10" t="s">
        <v>298</v>
      </c>
    </row>
    <row r="30" spans="1:10" ht="16.5" x14ac:dyDescent="0.3">
      <c r="A30" s="15" t="s">
        <v>9</v>
      </c>
      <c r="B30" s="14" t="s">
        <v>309</v>
      </c>
    </row>
    <row r="31" spans="1:10" ht="16.5" x14ac:dyDescent="0.3">
      <c r="A31" s="14" t="s">
        <v>32</v>
      </c>
      <c r="B31" s="28">
        <v>0.59599999999999997</v>
      </c>
      <c r="D31" s="28"/>
    </row>
    <row r="32" spans="1:10" ht="16.5" x14ac:dyDescent="0.3">
      <c r="A32" s="14" t="s">
        <v>16</v>
      </c>
      <c r="B32" s="28">
        <v>0.40400000000000003</v>
      </c>
      <c r="D32" s="28"/>
    </row>
    <row r="34" spans="1:11" ht="18.75" x14ac:dyDescent="0.3">
      <c r="A34" t="s">
        <v>32</v>
      </c>
      <c r="B34" s="29">
        <v>0.59599999999999997</v>
      </c>
      <c r="C34" s="31" t="s">
        <v>299</v>
      </c>
      <c r="D34" s="31"/>
      <c r="F34" s="31" t="s">
        <v>303</v>
      </c>
      <c r="G34" s="31"/>
    </row>
    <row r="35" spans="1:11" ht="18.75" x14ac:dyDescent="0.3">
      <c r="A35" t="s">
        <v>16</v>
      </c>
      <c r="B35" s="29">
        <v>0.40400000000000003</v>
      </c>
      <c r="F35" s="20" t="s">
        <v>301</v>
      </c>
      <c r="G35" s="20" t="s">
        <v>302</v>
      </c>
    </row>
    <row r="36" spans="1:11" ht="16.5" x14ac:dyDescent="0.3">
      <c r="C36" s="14" t="s">
        <v>284</v>
      </c>
      <c r="D36" s="14" t="s">
        <v>285</v>
      </c>
      <c r="F36" s="17" t="s">
        <v>304</v>
      </c>
      <c r="G36" s="18">
        <f>GETPIVOTDATA("[Measures].[TOTAL FREIGHT COST]",$A$3)</f>
        <v>93070468</v>
      </c>
    </row>
    <row r="37" spans="1:11" ht="16.5" x14ac:dyDescent="0.3">
      <c r="C37" s="16">
        <v>93070468</v>
      </c>
      <c r="D37" s="16">
        <v>3835428</v>
      </c>
      <c r="E37" s="12"/>
      <c r="F37" s="18" t="s">
        <v>305</v>
      </c>
      <c r="G37" s="18">
        <f>GETPIVOTDATA("[Measures].[FREIGHT COST VARIANCE]",$A$3)</f>
        <v>3835428</v>
      </c>
      <c r="H37" s="12"/>
      <c r="I37" s="12"/>
      <c r="J37" s="12"/>
      <c r="K37" s="12"/>
    </row>
    <row r="38" spans="1:11" ht="16.5" x14ac:dyDescent="0.3">
      <c r="F38" s="17" t="s">
        <v>306</v>
      </c>
      <c r="G38" s="18">
        <f>GETPIVOTDATA("[Measures].[AVERAGE COST PER KM]",$A$3)</f>
        <v>595.4375903676123</v>
      </c>
    </row>
    <row r="39" spans="1:11" ht="16.5" x14ac:dyDescent="0.3">
      <c r="C39" s="14" t="s">
        <v>285</v>
      </c>
      <c r="D39" s="14" t="s">
        <v>284</v>
      </c>
      <c r="F39" s="17" t="s">
        <v>307</v>
      </c>
      <c r="G39" s="19">
        <f>GETPIVOTDATA("[Measures].[ON-TIME DELIVERY %]",$A$3)</f>
        <v>0.40400000000000003</v>
      </c>
    </row>
    <row r="40" spans="1:11" ht="16.5" x14ac:dyDescent="0.3">
      <c r="C40" s="16">
        <v>3835428</v>
      </c>
      <c r="D40" s="16">
        <v>93070468</v>
      </c>
      <c r="E40" s="12"/>
      <c r="F40" s="18"/>
      <c r="G40" s="18"/>
      <c r="H40" s="12"/>
      <c r="I40" s="12"/>
      <c r="J40" s="12"/>
      <c r="K40" s="12"/>
    </row>
    <row r="41" spans="1:11" x14ac:dyDescent="0.25">
      <c r="B41" s="11"/>
    </row>
    <row r="42" spans="1:11" ht="16.5" x14ac:dyDescent="0.3">
      <c r="C42" s="14" t="s">
        <v>286</v>
      </c>
      <c r="D42" s="14" t="s">
        <v>300</v>
      </c>
    </row>
    <row r="43" spans="1:11" ht="16.5" x14ac:dyDescent="0.3">
      <c r="C43" s="16">
        <v>595.4375903676123</v>
      </c>
      <c r="D43" s="24">
        <v>1186</v>
      </c>
    </row>
    <row r="44" spans="1:11" ht="16.5" x14ac:dyDescent="0.3">
      <c r="C44" s="16"/>
    </row>
    <row r="45" spans="1:11" ht="16.5" x14ac:dyDescent="0.3">
      <c r="C45" s="14" t="s">
        <v>289</v>
      </c>
      <c r="D45" s="14" t="s">
        <v>290</v>
      </c>
    </row>
    <row r="46" spans="1:11" ht="16.5" x14ac:dyDescent="0.3">
      <c r="C46" s="25">
        <v>0.40400000000000003</v>
      </c>
      <c r="D46" s="25">
        <v>0.59599999999999997</v>
      </c>
    </row>
    <row r="48" spans="1:11" ht="16.5" x14ac:dyDescent="0.3">
      <c r="A48" s="24" t="s">
        <v>308</v>
      </c>
      <c r="B48" s="24"/>
    </row>
    <row r="49" spans="1:7" ht="16.5" x14ac:dyDescent="0.3">
      <c r="A49" s="26" t="s">
        <v>6</v>
      </c>
      <c r="B49" s="27" t="s">
        <v>310</v>
      </c>
      <c r="E49" s="27"/>
      <c r="G49" s="14"/>
    </row>
    <row r="50" spans="1:7" ht="16.5" x14ac:dyDescent="0.3">
      <c r="A50" s="27" t="s">
        <v>15</v>
      </c>
      <c r="B50" s="32">
        <v>599.78532701502729</v>
      </c>
      <c r="E50" s="12"/>
      <c r="G50" s="16"/>
    </row>
    <row r="51" spans="1:7" ht="16.5" x14ac:dyDescent="0.3">
      <c r="A51" s="27" t="s">
        <v>20</v>
      </c>
      <c r="B51" s="32">
        <v>588.93119310014379</v>
      </c>
      <c r="E51" s="12"/>
    </row>
    <row r="56" spans="1:7" ht="16.5" x14ac:dyDescent="0.3">
      <c r="D56" s="14"/>
      <c r="E56" s="14"/>
    </row>
    <row r="57" spans="1:7" ht="16.5" x14ac:dyDescent="0.3">
      <c r="D57" s="14"/>
      <c r="E57" s="14"/>
    </row>
    <row r="58" spans="1:7" ht="16.5" x14ac:dyDescent="0.3">
      <c r="D58" s="14"/>
      <c r="E58" s="14"/>
    </row>
    <row r="59" spans="1:7" ht="16.5" x14ac:dyDescent="0.3">
      <c r="D59" s="14"/>
      <c r="E59" s="14"/>
    </row>
    <row r="60" spans="1:7" ht="16.5" x14ac:dyDescent="0.3">
      <c r="D60" s="14"/>
      <c r="E60" s="14"/>
    </row>
    <row r="61" spans="1:7" ht="16.5" x14ac:dyDescent="0.3">
      <c r="D61" s="14"/>
      <c r="E61" s="14"/>
    </row>
    <row r="62" spans="1:7" ht="16.5" x14ac:dyDescent="0.3">
      <c r="D62" s="14"/>
      <c r="E62" s="14"/>
    </row>
    <row r="63" spans="1:7" ht="16.5" x14ac:dyDescent="0.3">
      <c r="D63" s="14"/>
      <c r="E63" s="14"/>
    </row>
    <row r="64" spans="1:7" ht="16.5" x14ac:dyDescent="0.3">
      <c r="D64" s="14"/>
      <c r="E64" s="14"/>
    </row>
    <row r="65" spans="4:5" ht="16.5" x14ac:dyDescent="0.3">
      <c r="D65" s="14"/>
      <c r="E65" s="14"/>
    </row>
    <row r="66" spans="4:5" ht="16.5" x14ac:dyDescent="0.3">
      <c r="D66" s="14"/>
      <c r="E66" s="14"/>
    </row>
    <row r="67" spans="4:5" ht="16.5" x14ac:dyDescent="0.3">
      <c r="D67" s="14"/>
      <c r="E67" s="14"/>
    </row>
  </sheetData>
  <mergeCells count="3">
    <mergeCell ref="A2:G2"/>
    <mergeCell ref="C34:D34"/>
    <mergeCell ref="F34:G34"/>
  </mergeCells>
  <pageMargins left="0.7" right="0.7" top="0.75" bottom="0.75" header="0.3" footer="0.3"/>
  <pageSetup scale="51" orientation="landscape"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view="pageBreakPreview" zoomScale="65" zoomScaleNormal="30" zoomScaleSheetLayoutView="65" workbookViewId="0">
      <selection activeCell="W54" sqref="W54"/>
    </sheetView>
  </sheetViews>
  <sheetFormatPr defaultRowHeight="15" x14ac:dyDescent="0.25"/>
  <cols>
    <col min="1" max="16384" width="9.140625" style="13"/>
  </cols>
  <sheetData/>
  <printOptions horizontalCentered="1"/>
  <pageMargins left="0.2" right="0.2" top="0.2" bottom="0.2" header="0.2" footer="0.2"/>
  <pageSetup paperSize="9" scale="39"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9C9E279-2C97-4226-876E-B0D8CD53A128}">
  <ds:schemaRefs/>
</ds:datastoreItem>
</file>

<file path=customXml/itemProps2.xml><?xml version="1.0" encoding="utf-8"?>
<ds:datastoreItem xmlns:ds="http://schemas.openxmlformats.org/officeDocument/2006/customXml" ds:itemID="{CAC2EAF5-502B-48E2-BE5F-C67B5B52947F}">
  <ds:schemaRefs/>
</ds:datastoreItem>
</file>

<file path=customXml/itemProps3.xml><?xml version="1.0" encoding="utf-8"?>
<ds:datastoreItem xmlns:ds="http://schemas.openxmlformats.org/officeDocument/2006/customXml" ds:itemID="{868B7A38-619F-45AC-B926-7C85AB69F6A9}">
  <ds:schemaRefs/>
</ds:datastoreItem>
</file>

<file path=customXml/itemProps4.xml><?xml version="1.0" encoding="utf-8"?>
<ds:datastoreItem xmlns:ds="http://schemas.openxmlformats.org/officeDocument/2006/customXml" ds:itemID="{32FC7D06-D43D-4DEE-8F4D-8A1FCF006CB1}">
  <ds:schemaRefs/>
</ds:datastoreItem>
</file>

<file path=customXml/itemProps5.xml><?xml version="1.0" encoding="utf-8"?>
<ds:datastoreItem xmlns:ds="http://schemas.openxmlformats.org/officeDocument/2006/customXml" ds:itemID="{C36313ED-D1C5-4777-BAD7-059B89C4461F}">
  <ds:schemaRefs/>
</ds:datastoreItem>
</file>

<file path=customXml/itemProps6.xml><?xml version="1.0" encoding="utf-8"?>
<ds:datastoreItem xmlns:ds="http://schemas.openxmlformats.org/officeDocument/2006/customXml" ds:itemID="{3DFF3ACD-A47C-45A3-9B3F-3BDD9AA4D185}">
  <ds:schemaRefs/>
</ds:datastoreItem>
</file>

<file path=customXml/itemProps7.xml><?xml version="1.0" encoding="utf-8"?>
<ds:datastoreItem xmlns:ds="http://schemas.openxmlformats.org/officeDocument/2006/customXml" ds:itemID="{1AE03A1A-BF53-401D-94CA-79D2869C6451}">
  <ds:schemaRefs/>
</ds:datastoreItem>
</file>

<file path=customXml/itemProps8.xml><?xml version="1.0" encoding="utf-8"?>
<ds:datastoreItem xmlns:ds="http://schemas.openxmlformats.org/officeDocument/2006/customXml" ds:itemID="{723F1F0D-9E49-4ECD-B51D-ABE38BDCDB4D}">
  <ds:schemaRefs/>
</ds:datastoreItem>
</file>

<file path=customXml/itemProps9.xml><?xml version="1.0" encoding="utf-8"?>
<ds:datastoreItem xmlns:ds="http://schemas.openxmlformats.org/officeDocument/2006/customXml" ds:itemID="{1569AFBC-ADC5-4618-931A-781F3D739CD3}">
  <ds:schemaRefs/>
</ds:datastoreItem>
</file>

<file path=customXml/itemProps10.xml><?xml version="1.0" encoding="utf-8"?>
<ds:datastoreItem xmlns:ds="http://schemas.openxmlformats.org/officeDocument/2006/customXml" ds:itemID="{3CDB5363-F682-41DF-8781-232D6C70058A}">
  <ds:schemaRefs/>
</ds:datastoreItem>
</file>

<file path=customXml/itemProps11.xml><?xml version="1.0" encoding="utf-8"?>
<ds:datastoreItem xmlns:ds="http://schemas.openxmlformats.org/officeDocument/2006/customXml" ds:itemID="{65C7382E-686F-4A88-B75D-C7FA74F4BF7A}">
  <ds:schemaRefs>
    <ds:schemaRef ds:uri="http://schemas.microsoft.com/DataMashup"/>
  </ds:schemaRefs>
</ds:datastoreItem>
</file>

<file path=customXml/itemProps12.xml><?xml version="1.0" encoding="utf-8"?>
<ds:datastoreItem xmlns:ds="http://schemas.openxmlformats.org/officeDocument/2006/customXml" ds:itemID="{26802830-AA73-4B4A-9D99-82099F4AB4D6}">
  <ds:schemaRefs/>
</ds:datastoreItem>
</file>

<file path=customXml/itemProps13.xml><?xml version="1.0" encoding="utf-8"?>
<ds:datastoreItem xmlns:ds="http://schemas.openxmlformats.org/officeDocument/2006/customXml" ds:itemID="{9D7AF858-6CD8-4FDD-BE72-77A5ACB508C2}">
  <ds:schemaRefs/>
</ds:datastoreItem>
</file>

<file path=customXml/itemProps14.xml><?xml version="1.0" encoding="utf-8"?>
<ds:datastoreItem xmlns:ds="http://schemas.openxmlformats.org/officeDocument/2006/customXml" ds:itemID="{8E0806D8-586D-453B-BBC9-3D6B405272A0}">
  <ds:schemaRefs/>
</ds:datastoreItem>
</file>

<file path=customXml/itemProps15.xml><?xml version="1.0" encoding="utf-8"?>
<ds:datastoreItem xmlns:ds="http://schemas.openxmlformats.org/officeDocument/2006/customXml" ds:itemID="{527BDA3F-CCEC-41D9-9CC3-9664206605C2}">
  <ds:schemaRefs/>
</ds:datastoreItem>
</file>

<file path=customXml/itemProps16.xml><?xml version="1.0" encoding="utf-8"?>
<ds:datastoreItem xmlns:ds="http://schemas.openxmlformats.org/officeDocument/2006/customXml" ds:itemID="{61FB9A03-21F1-4765-943E-F6AEF64B5E2E}">
  <ds:schemaRefs/>
</ds:datastoreItem>
</file>

<file path=customXml/itemProps17.xml><?xml version="1.0" encoding="utf-8"?>
<ds:datastoreItem xmlns:ds="http://schemas.openxmlformats.org/officeDocument/2006/customXml" ds:itemID="{B53F0818-B047-49DF-AFCD-00FBD37DA2D7}">
  <ds:schemaRefs/>
</ds:datastoreItem>
</file>

<file path=customXml/itemProps18.xml><?xml version="1.0" encoding="utf-8"?>
<ds:datastoreItem xmlns:ds="http://schemas.openxmlformats.org/officeDocument/2006/customXml" ds:itemID="{4D55902A-8A95-48FC-B69D-959D0FE99716}">
  <ds:schemaRefs/>
</ds:datastoreItem>
</file>

<file path=customXml/itemProps19.xml><?xml version="1.0" encoding="utf-8"?>
<ds:datastoreItem xmlns:ds="http://schemas.openxmlformats.org/officeDocument/2006/customXml" ds:itemID="{9977352F-5D9C-4D6C-A277-E1EFC716E0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Shipments</vt:lpstr>
      <vt:lpstr>Cost_Breakdown</vt:lpstr>
      <vt:lpstr>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Pc</cp:lastModifiedBy>
  <cp:lastPrinted>2025-12-21T21:16:08Z</cp:lastPrinted>
  <dcterms:created xsi:type="dcterms:W3CDTF">2025-11-08T20:53:12Z</dcterms:created>
  <dcterms:modified xsi:type="dcterms:W3CDTF">2025-12-22T08:44:48Z</dcterms:modified>
</cp:coreProperties>
</file>